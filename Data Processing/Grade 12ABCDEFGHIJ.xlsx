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embi\Downloads\"/>
    </mc:Choice>
  </mc:AlternateContent>
  <bookViews>
    <workbookView xWindow="0" yWindow="0" windowWidth="23040" windowHeight="10512" activeTab="10"/>
  </bookViews>
  <sheets>
    <sheet name="C" sheetId="5" r:id="rId1"/>
    <sheet name="B" sheetId="4" r:id="rId2"/>
    <sheet name="F" sheetId="8" r:id="rId3"/>
    <sheet name="H" sheetId="10" r:id="rId4"/>
    <sheet name="G" sheetId="9" r:id="rId5"/>
    <sheet name="I" sheetId="11" r:id="rId6"/>
    <sheet name="A" sheetId="6" r:id="rId7"/>
    <sheet name="E" sheetId="7" r:id="rId8"/>
    <sheet name="D" sheetId="1" r:id="rId9"/>
    <sheet name="YM" sheetId="15" r:id="rId10"/>
    <sheet name="YMARK" sheetId="16" r:id="rId11"/>
    <sheet name="Term3" sheetId="13" r:id="rId12"/>
    <sheet name="Term2" sheetId="12" r:id="rId13"/>
    <sheet name="Term1" sheetId="3" r:id="rId14"/>
    <sheet name="Exam" sheetId="14" r:id="rId15"/>
  </sheets>
  <calcPr calcId="162913"/>
</workbook>
</file>

<file path=xl/calcChain.xml><?xml version="1.0" encoding="utf-8"?>
<calcChain xmlns="http://schemas.openxmlformats.org/spreadsheetml/2006/main">
  <c r="AA133" i="16" l="1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AD121" i="16"/>
  <c r="AB121" i="16"/>
  <c r="AD28" i="16"/>
  <c r="AB28" i="16"/>
  <c r="AD8" i="16"/>
  <c r="AB8" i="16"/>
  <c r="AD100" i="16"/>
  <c r="AB100" i="16"/>
  <c r="AD104" i="16"/>
  <c r="AB104" i="16"/>
  <c r="AD122" i="16"/>
  <c r="AB122" i="16"/>
  <c r="AD49" i="16"/>
  <c r="AB49" i="16"/>
  <c r="AD29" i="16"/>
  <c r="AB29" i="16"/>
  <c r="AD90" i="16"/>
  <c r="AB90" i="16"/>
  <c r="AD46" i="16"/>
  <c r="AB46" i="16"/>
  <c r="AD33" i="16"/>
  <c r="AB33" i="16"/>
  <c r="AD106" i="16"/>
  <c r="AB106" i="16"/>
  <c r="AD105" i="16"/>
  <c r="AB105" i="16"/>
  <c r="AD50" i="16"/>
  <c r="AB50" i="16"/>
  <c r="AD117" i="16"/>
  <c r="AB117" i="16"/>
  <c r="AD85" i="16"/>
  <c r="AB85" i="16"/>
  <c r="AD61" i="16"/>
  <c r="AB61" i="16"/>
  <c r="AD26" i="16"/>
  <c r="AB26" i="16"/>
  <c r="AD94" i="16"/>
  <c r="AB94" i="16"/>
  <c r="AD32" i="16"/>
  <c r="AB32" i="16"/>
  <c r="AD19" i="16"/>
  <c r="AB19" i="16"/>
  <c r="AD57" i="16"/>
  <c r="AB57" i="16"/>
  <c r="AD124" i="16"/>
  <c r="AB124" i="16"/>
  <c r="AD82" i="16"/>
  <c r="AB82" i="16"/>
  <c r="AD24" i="16"/>
  <c r="AB24" i="16"/>
  <c r="AD12" i="16"/>
  <c r="AB12" i="16"/>
  <c r="AD78" i="16"/>
  <c r="AB78" i="16"/>
  <c r="AD66" i="16"/>
  <c r="AB66" i="16"/>
  <c r="AD130" i="16"/>
  <c r="AB130" i="16"/>
  <c r="AD131" i="16"/>
  <c r="AB131" i="16"/>
  <c r="AD129" i="16"/>
  <c r="AB129" i="16"/>
  <c r="AD70" i="16"/>
  <c r="AB70" i="16"/>
  <c r="AD103" i="16"/>
  <c r="AB103" i="16"/>
  <c r="AD76" i="16"/>
  <c r="AB76" i="16"/>
  <c r="AD111" i="16"/>
  <c r="AB111" i="16"/>
  <c r="AD84" i="16"/>
  <c r="AB84" i="16"/>
  <c r="AD96" i="16"/>
  <c r="AB96" i="16"/>
  <c r="AD107" i="16"/>
  <c r="AB107" i="16"/>
  <c r="AD108" i="16"/>
  <c r="AB108" i="16"/>
  <c r="AD88" i="16"/>
  <c r="AB88" i="16"/>
  <c r="AD87" i="16"/>
  <c r="AB87" i="16"/>
  <c r="AD34" i="16"/>
  <c r="AB34" i="16"/>
  <c r="AD72" i="16"/>
  <c r="AB72" i="16"/>
  <c r="AD30" i="16"/>
  <c r="AB30" i="16"/>
  <c r="AD36" i="16"/>
  <c r="AB36" i="16"/>
  <c r="AD38" i="16"/>
  <c r="AB38" i="16"/>
  <c r="AD99" i="16"/>
  <c r="AB99" i="16"/>
  <c r="AD75" i="16"/>
  <c r="AB75" i="16"/>
  <c r="AD125" i="16"/>
  <c r="AB125" i="16"/>
  <c r="AD120" i="16"/>
  <c r="AB120" i="16"/>
  <c r="AD110" i="16"/>
  <c r="AB110" i="16"/>
  <c r="AD53" i="16"/>
  <c r="AB53" i="16"/>
  <c r="AD69" i="16"/>
  <c r="AB69" i="16"/>
  <c r="AD65" i="16"/>
  <c r="AB65" i="16"/>
  <c r="AD15" i="16"/>
  <c r="AB15" i="16"/>
  <c r="AD92" i="16"/>
  <c r="AB92" i="16"/>
  <c r="AD113" i="16"/>
  <c r="AB113" i="16"/>
  <c r="AD54" i="16"/>
  <c r="AB54" i="16"/>
  <c r="AD64" i="16"/>
  <c r="AB64" i="16"/>
  <c r="AD14" i="16"/>
  <c r="AB14" i="16"/>
  <c r="AD128" i="16"/>
  <c r="AB128" i="16"/>
  <c r="AD10" i="16"/>
  <c r="AB10" i="16"/>
  <c r="AD81" i="16"/>
  <c r="AB81" i="16"/>
  <c r="AD62" i="16"/>
  <c r="AB62" i="16"/>
  <c r="AD71" i="16"/>
  <c r="AB71" i="16"/>
  <c r="AD95" i="16"/>
  <c r="AB95" i="16"/>
  <c r="AD47" i="16"/>
  <c r="AB47" i="16"/>
  <c r="AD18" i="16"/>
  <c r="AB18" i="16"/>
  <c r="AD37" i="16"/>
  <c r="AB37" i="16"/>
  <c r="AD93" i="16"/>
  <c r="AB93" i="16"/>
  <c r="AD77" i="16"/>
  <c r="AB77" i="16"/>
  <c r="AD22" i="16"/>
  <c r="AB22" i="16"/>
  <c r="AD31" i="16"/>
  <c r="AB31" i="16"/>
  <c r="AD97" i="16"/>
  <c r="AB97" i="16"/>
  <c r="AD102" i="16"/>
  <c r="AB102" i="16"/>
  <c r="AD44" i="16"/>
  <c r="AB44" i="16"/>
  <c r="AD63" i="16"/>
  <c r="AB63" i="16"/>
  <c r="AD45" i="16"/>
  <c r="AB45" i="16"/>
  <c r="AD68" i="16"/>
  <c r="AB68" i="16"/>
  <c r="AD35" i="16"/>
  <c r="AB35" i="16"/>
  <c r="AD74" i="16"/>
  <c r="AB74" i="16"/>
  <c r="AD43" i="16"/>
  <c r="AB43" i="16"/>
  <c r="AD112" i="16"/>
  <c r="AB112" i="16"/>
  <c r="AD86" i="16"/>
  <c r="AB86" i="16"/>
  <c r="AD25" i="16"/>
  <c r="AB25" i="16"/>
  <c r="AD91" i="16"/>
  <c r="AB91" i="16"/>
  <c r="AD127" i="16"/>
  <c r="AB127" i="16"/>
  <c r="AD56" i="16"/>
  <c r="AB56" i="16"/>
  <c r="AD52" i="16"/>
  <c r="AB52" i="16"/>
  <c r="AD73" i="16"/>
  <c r="AB73" i="16"/>
  <c r="AD55" i="16"/>
  <c r="AB55" i="16"/>
  <c r="AD98" i="16"/>
  <c r="AB98" i="16"/>
  <c r="AD115" i="16"/>
  <c r="AB115" i="16"/>
  <c r="AD83" i="16"/>
  <c r="AB83" i="16"/>
  <c r="AD21" i="16"/>
  <c r="AB21" i="16"/>
  <c r="AD11" i="16"/>
  <c r="AB11" i="16"/>
  <c r="AD89" i="16"/>
  <c r="AB89" i="16"/>
  <c r="AD13" i="16"/>
  <c r="AB13" i="16"/>
  <c r="AD20" i="16"/>
  <c r="AB20" i="16"/>
  <c r="AD16" i="16"/>
  <c r="AB16" i="16"/>
  <c r="AD109" i="16"/>
  <c r="AB109" i="16"/>
  <c r="AD123" i="16"/>
  <c r="AB123" i="16"/>
  <c r="AD51" i="16"/>
  <c r="AB51" i="16"/>
  <c r="AD9" i="16"/>
  <c r="AB9" i="16"/>
  <c r="AD126" i="16"/>
  <c r="AB126" i="16"/>
  <c r="AD116" i="16"/>
  <c r="AB116" i="16"/>
  <c r="AD48" i="16"/>
  <c r="AB48" i="16"/>
  <c r="AD59" i="16"/>
  <c r="AB59" i="16"/>
  <c r="AD101" i="16"/>
  <c r="AB101" i="16"/>
  <c r="AD23" i="16"/>
  <c r="AB23" i="16"/>
  <c r="AD42" i="16"/>
  <c r="AB42" i="16"/>
  <c r="AD67" i="16"/>
  <c r="AB67" i="16"/>
  <c r="AD58" i="16"/>
  <c r="AB58" i="16"/>
  <c r="AD17" i="16"/>
  <c r="AB17" i="16"/>
  <c r="AD60" i="16"/>
  <c r="AB60" i="16"/>
  <c r="AD114" i="16"/>
  <c r="AB114" i="16"/>
  <c r="AD39" i="16"/>
  <c r="AB39" i="16"/>
  <c r="AD27" i="16"/>
  <c r="AB27" i="16"/>
  <c r="AD133" i="16" l="1"/>
  <c r="AB133" i="16"/>
  <c r="L257" i="7"/>
  <c r="AD44" i="12" l="1"/>
  <c r="AA133" i="15" l="1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AD64" i="15"/>
  <c r="AB64" i="15"/>
  <c r="AD122" i="15"/>
  <c r="AB122" i="15"/>
  <c r="AD81" i="15"/>
  <c r="AB81" i="15"/>
  <c r="AD96" i="15"/>
  <c r="AB96" i="15"/>
  <c r="AD68" i="15"/>
  <c r="AB68" i="15"/>
  <c r="AD75" i="15"/>
  <c r="AB75" i="15"/>
  <c r="AD13" i="15"/>
  <c r="AB13" i="15"/>
  <c r="AD39" i="15"/>
  <c r="AB39" i="15"/>
  <c r="AD113" i="15"/>
  <c r="AB113" i="15"/>
  <c r="AD74" i="15"/>
  <c r="AB74" i="15"/>
  <c r="AD63" i="15"/>
  <c r="AB63" i="15"/>
  <c r="AD69" i="15"/>
  <c r="AB69" i="15"/>
  <c r="AD109" i="15"/>
  <c r="AB109" i="15"/>
  <c r="AD84" i="15"/>
  <c r="AB84" i="15"/>
  <c r="AD114" i="15"/>
  <c r="AB114" i="15"/>
  <c r="AD59" i="15"/>
  <c r="AB59" i="15"/>
  <c r="AD83" i="15"/>
  <c r="AB83" i="15"/>
  <c r="AD55" i="15"/>
  <c r="AB55" i="15"/>
  <c r="AD54" i="15"/>
  <c r="AB54" i="15"/>
  <c r="AD38" i="15"/>
  <c r="AB38" i="15"/>
  <c r="AD120" i="15"/>
  <c r="AB120" i="15"/>
  <c r="AD56" i="15"/>
  <c r="AB56" i="15"/>
  <c r="AD124" i="15"/>
  <c r="AB124" i="15"/>
  <c r="AD12" i="15"/>
  <c r="AB12" i="15"/>
  <c r="AD44" i="15"/>
  <c r="AB44" i="15"/>
  <c r="AD11" i="15"/>
  <c r="AB11" i="15"/>
  <c r="AD36" i="15"/>
  <c r="AB36" i="15"/>
  <c r="AD24" i="15"/>
  <c r="AB24" i="15"/>
  <c r="AD98" i="15"/>
  <c r="AB98" i="15"/>
  <c r="AD61" i="15"/>
  <c r="AB61" i="15"/>
  <c r="AD34" i="15"/>
  <c r="AB34" i="15"/>
  <c r="AD10" i="15"/>
  <c r="AB10" i="15"/>
  <c r="AD93" i="15"/>
  <c r="AB93" i="15"/>
  <c r="AD102" i="15"/>
  <c r="AB102" i="15"/>
  <c r="AD65" i="15"/>
  <c r="AB65" i="15"/>
  <c r="AD66" i="15"/>
  <c r="AB66" i="15"/>
  <c r="AD99" i="15"/>
  <c r="AB99" i="15"/>
  <c r="AD129" i="15"/>
  <c r="AB129" i="15"/>
  <c r="AD19" i="15"/>
  <c r="AB19" i="15"/>
  <c r="AD82" i="15"/>
  <c r="AB82" i="15"/>
  <c r="AD106" i="15"/>
  <c r="AB106" i="15"/>
  <c r="AD108" i="15"/>
  <c r="AB108" i="15"/>
  <c r="AD27" i="15"/>
  <c r="AB27" i="15"/>
  <c r="AD121" i="15"/>
  <c r="AB121" i="15"/>
  <c r="AD117" i="15"/>
  <c r="AB117" i="15"/>
  <c r="AD33" i="15"/>
  <c r="AB33" i="15"/>
  <c r="AD30" i="15"/>
  <c r="AB30" i="15"/>
  <c r="AD123" i="15"/>
  <c r="AB123" i="15"/>
  <c r="AD17" i="15"/>
  <c r="AB17" i="15"/>
  <c r="AD37" i="15"/>
  <c r="AB37" i="15"/>
  <c r="AD21" i="15"/>
  <c r="AB21" i="15"/>
  <c r="AD43" i="15"/>
  <c r="AB43" i="15"/>
  <c r="AD67" i="15"/>
  <c r="AB67" i="15"/>
  <c r="AD58" i="15"/>
  <c r="AB58" i="15"/>
  <c r="AD46" i="15"/>
  <c r="AB46" i="15"/>
  <c r="AD90" i="15"/>
  <c r="AB90" i="15"/>
  <c r="AD78" i="15"/>
  <c r="AB78" i="15"/>
  <c r="AD103" i="15"/>
  <c r="AB103" i="15"/>
  <c r="AD76" i="15"/>
  <c r="AB76" i="15"/>
  <c r="AD71" i="15"/>
  <c r="AB71" i="15"/>
  <c r="AD48" i="15"/>
  <c r="AB48" i="15"/>
  <c r="AD47" i="15"/>
  <c r="AB47" i="15"/>
  <c r="AD105" i="15"/>
  <c r="AB105" i="15"/>
  <c r="AD115" i="15"/>
  <c r="AB115" i="15"/>
  <c r="AD87" i="15"/>
  <c r="AB87" i="15"/>
  <c r="AD107" i="15"/>
  <c r="AB107" i="15"/>
  <c r="AD26" i="15"/>
  <c r="AB26" i="15"/>
  <c r="AD97" i="15"/>
  <c r="AB97" i="15"/>
  <c r="AD15" i="15"/>
  <c r="AB15" i="15"/>
  <c r="AD91" i="15"/>
  <c r="AB91" i="15"/>
  <c r="AD52" i="15"/>
  <c r="AB52" i="15"/>
  <c r="AD50" i="15"/>
  <c r="AB50" i="15"/>
  <c r="AD60" i="15"/>
  <c r="AB60" i="15"/>
  <c r="AD128" i="15"/>
  <c r="AB128" i="15"/>
  <c r="AD18" i="15"/>
  <c r="AB18" i="15"/>
  <c r="AD49" i="15"/>
  <c r="AB49" i="15"/>
  <c r="AD100" i="15"/>
  <c r="AB100" i="15"/>
  <c r="AD94" i="15"/>
  <c r="AB94" i="15"/>
  <c r="AD85" i="15"/>
  <c r="AB85" i="15"/>
  <c r="AD32" i="15"/>
  <c r="AB32" i="15"/>
  <c r="AD88" i="15"/>
  <c r="AB88" i="15"/>
  <c r="AD16" i="15"/>
  <c r="AB16" i="15"/>
  <c r="AD22" i="15"/>
  <c r="AB22" i="15"/>
  <c r="AD73" i="15"/>
  <c r="AB73" i="15"/>
  <c r="AD23" i="15"/>
  <c r="AB23" i="15"/>
  <c r="AD14" i="15"/>
  <c r="AB14" i="15"/>
  <c r="AD25" i="15"/>
  <c r="AB25" i="15"/>
  <c r="AD104" i="15"/>
  <c r="AB104" i="15"/>
  <c r="AD126" i="15"/>
  <c r="AB126" i="15"/>
  <c r="AD77" i="15"/>
  <c r="AB77" i="15"/>
  <c r="AD45" i="15"/>
  <c r="AB45" i="15"/>
  <c r="AD110" i="15"/>
  <c r="AB110" i="15"/>
  <c r="AD131" i="15"/>
  <c r="AB131" i="15"/>
  <c r="AD111" i="15"/>
  <c r="AB111" i="15"/>
  <c r="AD29" i="15"/>
  <c r="AB29" i="15"/>
  <c r="AD28" i="15"/>
  <c r="AB28" i="15"/>
  <c r="AD127" i="15"/>
  <c r="AB127" i="15"/>
  <c r="AD53" i="15"/>
  <c r="AB53" i="15"/>
  <c r="AD86" i="15"/>
  <c r="AB86" i="15"/>
  <c r="AD57" i="15"/>
  <c r="AB57" i="15"/>
  <c r="AD35" i="15"/>
  <c r="AB35" i="15"/>
  <c r="AD116" i="15"/>
  <c r="AB116" i="15"/>
  <c r="AD70" i="15"/>
  <c r="AB70" i="15"/>
  <c r="AD72" i="15"/>
  <c r="AB72" i="15"/>
  <c r="AD31" i="15"/>
  <c r="AB31" i="15"/>
  <c r="AD95" i="15"/>
  <c r="AB95" i="15"/>
  <c r="AD130" i="15"/>
  <c r="AB130" i="15"/>
  <c r="AD9" i="15"/>
  <c r="AB9" i="15"/>
  <c r="AD89" i="15"/>
  <c r="AB89" i="15"/>
  <c r="AD20" i="15"/>
  <c r="AB20" i="15"/>
  <c r="AD42" i="15"/>
  <c r="AB42" i="15"/>
  <c r="AD92" i="15"/>
  <c r="AB92" i="15"/>
  <c r="AD101" i="15"/>
  <c r="AB101" i="15"/>
  <c r="AD125" i="15"/>
  <c r="AB125" i="15"/>
  <c r="AD62" i="15"/>
  <c r="AB62" i="15"/>
  <c r="AD8" i="15"/>
  <c r="AB8" i="15"/>
  <c r="AD51" i="15"/>
  <c r="AB51" i="15"/>
  <c r="AD112" i="15"/>
  <c r="AB112" i="15"/>
  <c r="AD133" i="15" l="1"/>
  <c r="AB133" i="15"/>
  <c r="L186" i="11"/>
  <c r="M186" i="11" s="1"/>
  <c r="L185" i="11"/>
  <c r="M185" i="11" s="1"/>
  <c r="L184" i="11"/>
  <c r="M184" i="11" s="1"/>
  <c r="L183" i="11"/>
  <c r="M183" i="11" s="1"/>
  <c r="L182" i="11"/>
  <c r="M182" i="11" s="1"/>
  <c r="L181" i="11"/>
  <c r="M181" i="11" s="1"/>
  <c r="L180" i="11"/>
  <c r="M180" i="11" s="1"/>
  <c r="L179" i="11"/>
  <c r="M179" i="11" s="1"/>
  <c r="L178" i="11"/>
  <c r="M178" i="11" s="1"/>
  <c r="L177" i="11"/>
  <c r="M177" i="11" s="1"/>
  <c r="L176" i="11"/>
  <c r="M176" i="11" s="1"/>
  <c r="L175" i="11"/>
  <c r="M175" i="11" s="1"/>
  <c r="L174" i="11"/>
  <c r="M174" i="11" s="1"/>
  <c r="L173" i="11"/>
  <c r="M173" i="11" s="1"/>
  <c r="L172" i="11"/>
  <c r="M172" i="11" s="1"/>
  <c r="L171" i="11"/>
  <c r="M171" i="11" s="1"/>
  <c r="L162" i="11"/>
  <c r="M162" i="11" s="1"/>
  <c r="L161" i="11"/>
  <c r="M161" i="11" s="1"/>
  <c r="L160" i="11"/>
  <c r="M160" i="11" s="1"/>
  <c r="L159" i="11"/>
  <c r="M159" i="11" s="1"/>
  <c r="L158" i="11"/>
  <c r="M158" i="11" s="1"/>
  <c r="L157" i="11"/>
  <c r="M157" i="11" s="1"/>
  <c r="L156" i="11"/>
  <c r="M156" i="11" s="1"/>
  <c r="L155" i="11"/>
  <c r="M155" i="11" s="1"/>
  <c r="L154" i="11"/>
  <c r="M154" i="11" s="1"/>
  <c r="L153" i="11"/>
  <c r="M153" i="11" s="1"/>
  <c r="L152" i="11"/>
  <c r="M152" i="11" s="1"/>
  <c r="L151" i="11"/>
  <c r="M151" i="11" s="1"/>
  <c r="L150" i="11"/>
  <c r="M150" i="11" s="1"/>
  <c r="L149" i="11"/>
  <c r="M149" i="11" s="1"/>
  <c r="L148" i="11"/>
  <c r="M148" i="11" s="1"/>
  <c r="L147" i="11"/>
  <c r="M147" i="11" s="1"/>
  <c r="L139" i="11"/>
  <c r="M139" i="11" s="1"/>
  <c r="L138" i="11"/>
  <c r="M138" i="11" s="1"/>
  <c r="L137" i="11"/>
  <c r="M137" i="11" s="1"/>
  <c r="L136" i="11"/>
  <c r="M136" i="11" s="1"/>
  <c r="L135" i="11"/>
  <c r="M135" i="11" s="1"/>
  <c r="L134" i="11"/>
  <c r="M134" i="11" s="1"/>
  <c r="L133" i="11"/>
  <c r="M133" i="11" s="1"/>
  <c r="L132" i="11"/>
  <c r="M132" i="11" s="1"/>
  <c r="L131" i="11"/>
  <c r="M131" i="11" s="1"/>
  <c r="L130" i="11"/>
  <c r="M130" i="11" s="1"/>
  <c r="L129" i="11"/>
  <c r="M129" i="11" s="1"/>
  <c r="L128" i="11"/>
  <c r="M128" i="11" s="1"/>
  <c r="L127" i="11"/>
  <c r="M127" i="11" s="1"/>
  <c r="L126" i="11"/>
  <c r="M126" i="11" s="1"/>
  <c r="L125" i="11"/>
  <c r="M125" i="11" s="1"/>
  <c r="L124" i="11"/>
  <c r="M124" i="11" s="1"/>
  <c r="L115" i="11"/>
  <c r="M115" i="11" s="1"/>
  <c r="L114" i="11"/>
  <c r="M114" i="11" s="1"/>
  <c r="L113" i="11"/>
  <c r="M113" i="11" s="1"/>
  <c r="L112" i="11"/>
  <c r="M112" i="11" s="1"/>
  <c r="L111" i="11"/>
  <c r="M111" i="11" s="1"/>
  <c r="L110" i="11"/>
  <c r="M110" i="11" s="1"/>
  <c r="L109" i="11"/>
  <c r="M109" i="11" s="1"/>
  <c r="L108" i="11"/>
  <c r="M108" i="11" s="1"/>
  <c r="L107" i="11"/>
  <c r="M107" i="11" s="1"/>
  <c r="L106" i="11"/>
  <c r="M106" i="11" s="1"/>
  <c r="L105" i="11"/>
  <c r="M105" i="11" s="1"/>
  <c r="L104" i="11"/>
  <c r="M104" i="11" s="1"/>
  <c r="L103" i="11"/>
  <c r="M103" i="11" s="1"/>
  <c r="L102" i="11"/>
  <c r="M102" i="11" s="1"/>
  <c r="L101" i="11"/>
  <c r="M101" i="11" s="1"/>
  <c r="L100" i="11"/>
  <c r="M100" i="11" s="1"/>
  <c r="L92" i="11"/>
  <c r="M92" i="11" s="1"/>
  <c r="L91" i="11"/>
  <c r="M91" i="11" s="1"/>
  <c r="L90" i="11"/>
  <c r="M90" i="11" s="1"/>
  <c r="L89" i="11"/>
  <c r="M89" i="11" s="1"/>
  <c r="L88" i="11"/>
  <c r="M88" i="11" s="1"/>
  <c r="L87" i="11"/>
  <c r="M87" i="11" s="1"/>
  <c r="L86" i="11"/>
  <c r="M86" i="11" s="1"/>
  <c r="L85" i="11"/>
  <c r="M85" i="11" s="1"/>
  <c r="L84" i="11"/>
  <c r="M84" i="11" s="1"/>
  <c r="L83" i="11"/>
  <c r="M83" i="11" s="1"/>
  <c r="L82" i="11"/>
  <c r="M82" i="11" s="1"/>
  <c r="L81" i="11"/>
  <c r="M81" i="11" s="1"/>
  <c r="L80" i="11"/>
  <c r="M80" i="11" s="1"/>
  <c r="L79" i="11"/>
  <c r="M79" i="11" s="1"/>
  <c r="L78" i="11"/>
  <c r="M78" i="11" s="1"/>
  <c r="L77" i="11"/>
  <c r="M77" i="11" s="1"/>
  <c r="L68" i="11"/>
  <c r="M68" i="11" s="1"/>
  <c r="L67" i="11"/>
  <c r="M67" i="11" s="1"/>
  <c r="L66" i="11"/>
  <c r="M66" i="11" s="1"/>
  <c r="L65" i="11"/>
  <c r="M65" i="11" s="1"/>
  <c r="L64" i="11"/>
  <c r="M64" i="11" s="1"/>
  <c r="L63" i="11"/>
  <c r="M63" i="11" s="1"/>
  <c r="L62" i="11"/>
  <c r="M62" i="11" s="1"/>
  <c r="L61" i="11"/>
  <c r="M61" i="11" s="1"/>
  <c r="L60" i="11"/>
  <c r="M60" i="11" s="1"/>
  <c r="L59" i="11"/>
  <c r="M59" i="11" s="1"/>
  <c r="L58" i="11"/>
  <c r="M58" i="11" s="1"/>
  <c r="L57" i="11"/>
  <c r="M57" i="11" s="1"/>
  <c r="L56" i="11"/>
  <c r="M56" i="11" s="1"/>
  <c r="L55" i="11"/>
  <c r="M55" i="11" s="1"/>
  <c r="L54" i="11"/>
  <c r="M54" i="11" s="1"/>
  <c r="L53" i="11"/>
  <c r="M53" i="11" s="1"/>
  <c r="L45" i="11"/>
  <c r="M45" i="11" s="1"/>
  <c r="L44" i="11"/>
  <c r="M44" i="11" s="1"/>
  <c r="L43" i="11"/>
  <c r="M43" i="11" s="1"/>
  <c r="L42" i="11"/>
  <c r="M42" i="11" s="1"/>
  <c r="L41" i="11"/>
  <c r="M41" i="11" s="1"/>
  <c r="L40" i="11"/>
  <c r="M40" i="11" s="1"/>
  <c r="L39" i="11"/>
  <c r="M39" i="11" s="1"/>
  <c r="L38" i="11"/>
  <c r="M38" i="11" s="1"/>
  <c r="L37" i="11"/>
  <c r="M37" i="11" s="1"/>
  <c r="L36" i="11"/>
  <c r="M36" i="11" s="1"/>
  <c r="L35" i="11"/>
  <c r="M35" i="11" s="1"/>
  <c r="L34" i="11"/>
  <c r="M34" i="11" s="1"/>
  <c r="L33" i="11"/>
  <c r="M33" i="11" s="1"/>
  <c r="L32" i="11"/>
  <c r="M32" i="11" s="1"/>
  <c r="L31" i="11"/>
  <c r="M31" i="11" s="1"/>
  <c r="L30" i="11"/>
  <c r="M30" i="11" s="1"/>
  <c r="L7" i="11"/>
  <c r="M7" i="11" s="1"/>
  <c r="L8" i="11"/>
  <c r="M8" i="11" s="1"/>
  <c r="L9" i="11"/>
  <c r="M9" i="11" s="1"/>
  <c r="L10" i="11"/>
  <c r="M10" i="11" s="1"/>
  <c r="L11" i="11"/>
  <c r="M11" i="11" s="1"/>
  <c r="L12" i="11"/>
  <c r="M12" i="11" s="1"/>
  <c r="L13" i="11"/>
  <c r="M13" i="11" s="1"/>
  <c r="L14" i="11"/>
  <c r="M14" i="11" s="1"/>
  <c r="L15" i="11"/>
  <c r="M15" i="11" s="1"/>
  <c r="L16" i="11"/>
  <c r="M16" i="11" s="1"/>
  <c r="L17" i="11"/>
  <c r="M17" i="11" s="1"/>
  <c r="L18" i="11"/>
  <c r="M18" i="11" s="1"/>
  <c r="L19" i="11"/>
  <c r="M19" i="11" s="1"/>
  <c r="L20" i="11"/>
  <c r="M20" i="11" s="1"/>
  <c r="L21" i="11"/>
  <c r="M21" i="11" s="1"/>
  <c r="L6" i="11"/>
  <c r="M6" i="11" s="1"/>
  <c r="L106" i="10"/>
  <c r="M106" i="10" s="1"/>
  <c r="L105" i="10"/>
  <c r="M105" i="10" s="1"/>
  <c r="L104" i="10"/>
  <c r="M104" i="10" s="1"/>
  <c r="L103" i="10"/>
  <c r="M103" i="10" s="1"/>
  <c r="L102" i="10"/>
  <c r="M102" i="10" s="1"/>
  <c r="L101" i="10"/>
  <c r="M101" i="10" s="1"/>
  <c r="L100" i="10"/>
  <c r="M100" i="10" s="1"/>
  <c r="L89" i="10"/>
  <c r="M89" i="10" s="1"/>
  <c r="L88" i="10"/>
  <c r="M88" i="10" s="1"/>
  <c r="L87" i="10"/>
  <c r="M87" i="10" s="1"/>
  <c r="L86" i="10"/>
  <c r="M86" i="10" s="1"/>
  <c r="L85" i="10"/>
  <c r="M85" i="10" s="1"/>
  <c r="L84" i="10"/>
  <c r="M84" i="10" s="1"/>
  <c r="L83" i="10"/>
  <c r="M83" i="10" s="1"/>
  <c r="L74" i="10"/>
  <c r="M74" i="10" s="1"/>
  <c r="L73" i="10"/>
  <c r="M73" i="10" s="1"/>
  <c r="L72" i="10"/>
  <c r="M72" i="10" s="1"/>
  <c r="L71" i="10"/>
  <c r="M71" i="10" s="1"/>
  <c r="L70" i="10"/>
  <c r="M70" i="10" s="1"/>
  <c r="L69" i="10"/>
  <c r="M69" i="10" s="1"/>
  <c r="L68" i="10"/>
  <c r="M68" i="10" s="1"/>
  <c r="L59" i="10"/>
  <c r="M59" i="10" s="1"/>
  <c r="L58" i="10"/>
  <c r="M58" i="10" s="1"/>
  <c r="L57" i="10"/>
  <c r="M57" i="10" s="1"/>
  <c r="L56" i="10"/>
  <c r="M56" i="10" s="1"/>
  <c r="L55" i="10"/>
  <c r="M55" i="10" s="1"/>
  <c r="L54" i="10"/>
  <c r="M54" i="10" s="1"/>
  <c r="L53" i="10"/>
  <c r="M5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L36" i="10"/>
  <c r="M36" i="10" s="1"/>
  <c r="L27" i="10"/>
  <c r="M27" i="10" s="1"/>
  <c r="L26" i="10"/>
  <c r="M26" i="10" s="1"/>
  <c r="L25" i="10"/>
  <c r="M25" i="10" s="1"/>
  <c r="L24" i="10"/>
  <c r="M24" i="10" s="1"/>
  <c r="L23" i="10"/>
  <c r="M23" i="10" s="1"/>
  <c r="L22" i="10"/>
  <c r="M22" i="10" s="1"/>
  <c r="L21" i="10"/>
  <c r="M21" i="10" s="1"/>
  <c r="L7" i="10"/>
  <c r="M7" i="10" s="1"/>
  <c r="L8" i="10"/>
  <c r="M8" i="10" s="1"/>
  <c r="L9" i="10"/>
  <c r="M9" i="10" s="1"/>
  <c r="L10" i="10"/>
  <c r="M10" i="10" s="1"/>
  <c r="L11" i="10"/>
  <c r="M11" i="10" s="1"/>
  <c r="L12" i="10"/>
  <c r="M12" i="10" s="1"/>
  <c r="L6" i="10"/>
  <c r="M6" i="10" s="1"/>
  <c r="L119" i="9"/>
  <c r="M119" i="9" s="1"/>
  <c r="L118" i="9"/>
  <c r="M118" i="9" s="1"/>
  <c r="L117" i="9"/>
  <c r="M117" i="9" s="1"/>
  <c r="L116" i="9"/>
  <c r="M116" i="9" s="1"/>
  <c r="L115" i="9"/>
  <c r="M115" i="9" s="1"/>
  <c r="L114" i="9"/>
  <c r="M114" i="9" s="1"/>
  <c r="L105" i="9"/>
  <c r="M105" i="9" s="1"/>
  <c r="L104" i="9"/>
  <c r="M104" i="9" s="1"/>
  <c r="L103" i="9"/>
  <c r="M103" i="9" s="1"/>
  <c r="L102" i="9"/>
  <c r="M102" i="9" s="1"/>
  <c r="L101" i="9"/>
  <c r="M101" i="9" s="1"/>
  <c r="L100" i="9"/>
  <c r="M100" i="9" s="1"/>
  <c r="L86" i="9"/>
  <c r="M86" i="9" s="1"/>
  <c r="L85" i="9"/>
  <c r="M85" i="9" s="1"/>
  <c r="L84" i="9"/>
  <c r="M84" i="9" s="1"/>
  <c r="L83" i="9"/>
  <c r="M83" i="9" s="1"/>
  <c r="L82" i="9"/>
  <c r="M82" i="9" s="1"/>
  <c r="L81" i="9"/>
  <c r="M81" i="9" s="1"/>
  <c r="L72" i="9"/>
  <c r="M72" i="9" s="1"/>
  <c r="L71" i="9"/>
  <c r="M71" i="9" s="1"/>
  <c r="L70" i="9"/>
  <c r="M70" i="9" s="1"/>
  <c r="L69" i="9"/>
  <c r="M69" i="9" s="1"/>
  <c r="L68" i="9"/>
  <c r="M68" i="9" s="1"/>
  <c r="L67" i="9"/>
  <c r="M67" i="9" s="1"/>
  <c r="L58" i="9"/>
  <c r="M58" i="9" s="1"/>
  <c r="L57" i="9"/>
  <c r="M57" i="9" s="1"/>
  <c r="L56" i="9"/>
  <c r="M56" i="9" s="1"/>
  <c r="L55" i="9"/>
  <c r="M55" i="9" s="1"/>
  <c r="L54" i="9"/>
  <c r="M54" i="9" s="1"/>
  <c r="L53" i="9"/>
  <c r="M53" i="9" s="1"/>
  <c r="L39" i="9"/>
  <c r="M39" i="9" s="1"/>
  <c r="L38" i="9"/>
  <c r="M38" i="9" s="1"/>
  <c r="L37" i="9"/>
  <c r="M37" i="9" s="1"/>
  <c r="L36" i="9"/>
  <c r="M36" i="9" s="1"/>
  <c r="L35" i="9"/>
  <c r="M35" i="9" s="1"/>
  <c r="L34" i="9"/>
  <c r="M34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7" i="9"/>
  <c r="M7" i="9" s="1"/>
  <c r="L8" i="9"/>
  <c r="M8" i="9" s="1"/>
  <c r="L9" i="9"/>
  <c r="M9" i="9" s="1"/>
  <c r="L10" i="9"/>
  <c r="M10" i="9" s="1"/>
  <c r="L11" i="9"/>
  <c r="M11" i="9" s="1"/>
  <c r="L6" i="9"/>
  <c r="M6" i="9" s="1"/>
  <c r="L178" i="8"/>
  <c r="M178" i="8" s="1"/>
  <c r="L177" i="8"/>
  <c r="M177" i="8" s="1"/>
  <c r="L176" i="8"/>
  <c r="M176" i="8" s="1"/>
  <c r="L175" i="8"/>
  <c r="M175" i="8" s="1"/>
  <c r="L174" i="8"/>
  <c r="M174" i="8" s="1"/>
  <c r="L173" i="8"/>
  <c r="M173" i="8" s="1"/>
  <c r="L172" i="8"/>
  <c r="M172" i="8" s="1"/>
  <c r="L171" i="8"/>
  <c r="M171" i="8" s="1"/>
  <c r="L170" i="8"/>
  <c r="M170" i="8" s="1"/>
  <c r="L169" i="8"/>
  <c r="M169" i="8" s="1"/>
  <c r="L168" i="8"/>
  <c r="M168" i="8" s="1"/>
  <c r="L167" i="8"/>
  <c r="M167" i="8" s="1"/>
  <c r="L158" i="8"/>
  <c r="M158" i="8" s="1"/>
  <c r="L157" i="8"/>
  <c r="M157" i="8" s="1"/>
  <c r="L156" i="8"/>
  <c r="M156" i="8" s="1"/>
  <c r="L155" i="8"/>
  <c r="M155" i="8" s="1"/>
  <c r="L154" i="8"/>
  <c r="M154" i="8" s="1"/>
  <c r="L153" i="8"/>
  <c r="M153" i="8" s="1"/>
  <c r="L152" i="8"/>
  <c r="M152" i="8" s="1"/>
  <c r="L151" i="8"/>
  <c r="M151" i="8" s="1"/>
  <c r="L150" i="8"/>
  <c r="M150" i="8" s="1"/>
  <c r="L149" i="8"/>
  <c r="M149" i="8" s="1"/>
  <c r="L148" i="8"/>
  <c r="M148" i="8" s="1"/>
  <c r="L147" i="8"/>
  <c r="M147" i="8" s="1"/>
  <c r="L131" i="8"/>
  <c r="M131" i="8" s="1"/>
  <c r="L130" i="8"/>
  <c r="M130" i="8" s="1"/>
  <c r="L129" i="8"/>
  <c r="M129" i="8" s="1"/>
  <c r="L128" i="8"/>
  <c r="M128" i="8" s="1"/>
  <c r="L127" i="8"/>
  <c r="M127" i="8" s="1"/>
  <c r="L126" i="8"/>
  <c r="M126" i="8" s="1"/>
  <c r="L125" i="8"/>
  <c r="M125" i="8" s="1"/>
  <c r="L124" i="8"/>
  <c r="M124" i="8" s="1"/>
  <c r="L123" i="8"/>
  <c r="M123" i="8" s="1"/>
  <c r="L122" i="8"/>
  <c r="M122" i="8" s="1"/>
  <c r="L121" i="8"/>
  <c r="M121" i="8" s="1"/>
  <c r="L120" i="8"/>
  <c r="M120" i="8" s="1"/>
  <c r="L111" i="8"/>
  <c r="M111" i="8" s="1"/>
  <c r="L110" i="8"/>
  <c r="M110" i="8" s="1"/>
  <c r="L109" i="8"/>
  <c r="M109" i="8" s="1"/>
  <c r="L108" i="8"/>
  <c r="M108" i="8" s="1"/>
  <c r="L107" i="8"/>
  <c r="M107" i="8" s="1"/>
  <c r="L106" i="8"/>
  <c r="M106" i="8" s="1"/>
  <c r="L105" i="8"/>
  <c r="M105" i="8" s="1"/>
  <c r="L104" i="8"/>
  <c r="M104" i="8" s="1"/>
  <c r="L103" i="8"/>
  <c r="M103" i="8" s="1"/>
  <c r="L102" i="8"/>
  <c r="M102" i="8" s="1"/>
  <c r="L101" i="8"/>
  <c r="M101" i="8" s="1"/>
  <c r="L100" i="8"/>
  <c r="M100" i="8" s="1"/>
  <c r="L84" i="8"/>
  <c r="M84" i="8" s="1"/>
  <c r="L83" i="8"/>
  <c r="M83" i="8" s="1"/>
  <c r="L82" i="8"/>
  <c r="M82" i="8" s="1"/>
  <c r="L81" i="8"/>
  <c r="M81" i="8" s="1"/>
  <c r="L80" i="8"/>
  <c r="M80" i="8" s="1"/>
  <c r="L79" i="8"/>
  <c r="M79" i="8" s="1"/>
  <c r="L78" i="8"/>
  <c r="M78" i="8" s="1"/>
  <c r="L77" i="8"/>
  <c r="M77" i="8" s="1"/>
  <c r="L76" i="8"/>
  <c r="M76" i="8" s="1"/>
  <c r="L75" i="8"/>
  <c r="M75" i="8" s="1"/>
  <c r="L74" i="8"/>
  <c r="M74" i="8" s="1"/>
  <c r="L73" i="8"/>
  <c r="M73" i="8" s="1"/>
  <c r="L64" i="8"/>
  <c r="M64" i="8" s="1"/>
  <c r="L63" i="8"/>
  <c r="M63" i="8" s="1"/>
  <c r="L62" i="8"/>
  <c r="M62" i="8" s="1"/>
  <c r="L61" i="8"/>
  <c r="M61" i="8" s="1"/>
  <c r="L60" i="8"/>
  <c r="M60" i="8" s="1"/>
  <c r="L59" i="8"/>
  <c r="M59" i="8" s="1"/>
  <c r="L58" i="8"/>
  <c r="M58" i="8" s="1"/>
  <c r="L57" i="8"/>
  <c r="M57" i="8" s="1"/>
  <c r="L56" i="8"/>
  <c r="M56" i="8" s="1"/>
  <c r="L55" i="8"/>
  <c r="M55" i="8" s="1"/>
  <c r="L54" i="8"/>
  <c r="M54" i="8" s="1"/>
  <c r="L53" i="8"/>
  <c r="M53" i="8" s="1"/>
  <c r="L37" i="8"/>
  <c r="M37" i="8" s="1"/>
  <c r="L36" i="8"/>
  <c r="M36" i="8" s="1"/>
  <c r="L35" i="8"/>
  <c r="M35" i="8" s="1"/>
  <c r="L34" i="8"/>
  <c r="M34" i="8" s="1"/>
  <c r="L33" i="8"/>
  <c r="M33" i="8" s="1"/>
  <c r="L32" i="8"/>
  <c r="M32" i="8" s="1"/>
  <c r="L31" i="8"/>
  <c r="M31" i="8" s="1"/>
  <c r="L30" i="8"/>
  <c r="M30" i="8" s="1"/>
  <c r="L29" i="8"/>
  <c r="M29" i="8" s="1"/>
  <c r="L28" i="8"/>
  <c r="M28" i="8" s="1"/>
  <c r="L27" i="8"/>
  <c r="M27" i="8" s="1"/>
  <c r="L26" i="8"/>
  <c r="M26" i="8" s="1"/>
  <c r="L7" i="8"/>
  <c r="M7" i="8" s="1"/>
  <c r="L8" i="8"/>
  <c r="M8" i="8" s="1"/>
  <c r="L9" i="8"/>
  <c r="M9" i="8" s="1"/>
  <c r="L10" i="8"/>
  <c r="M10" i="8" s="1"/>
  <c r="L11" i="8"/>
  <c r="M11" i="8" s="1"/>
  <c r="L12" i="8"/>
  <c r="M12" i="8" s="1"/>
  <c r="L13" i="8"/>
  <c r="M13" i="8" s="1"/>
  <c r="L14" i="8"/>
  <c r="M14" i="8" s="1"/>
  <c r="L15" i="8"/>
  <c r="M15" i="8" s="1"/>
  <c r="L16" i="8"/>
  <c r="M16" i="8" s="1"/>
  <c r="L17" i="8"/>
  <c r="M17" i="8" s="1"/>
  <c r="L6" i="8"/>
  <c r="M6" i="8" s="1"/>
  <c r="L358" i="7"/>
  <c r="M358" i="7" s="1"/>
  <c r="L357" i="7"/>
  <c r="M357" i="7" s="1"/>
  <c r="L356" i="7"/>
  <c r="M356" i="7" s="1"/>
  <c r="L355" i="7"/>
  <c r="M355" i="7" s="1"/>
  <c r="L354" i="7"/>
  <c r="M354" i="7" s="1"/>
  <c r="L353" i="7"/>
  <c r="M353" i="7" s="1"/>
  <c r="L352" i="7"/>
  <c r="M352" i="7" s="1"/>
  <c r="L351" i="7"/>
  <c r="M351" i="7" s="1"/>
  <c r="L350" i="7"/>
  <c r="M350" i="7" s="1"/>
  <c r="L349" i="7"/>
  <c r="M349" i="7" s="1"/>
  <c r="L348" i="7"/>
  <c r="M348" i="7" s="1"/>
  <c r="L347" i="7"/>
  <c r="M347" i="7" s="1"/>
  <c r="L346" i="7"/>
  <c r="M346" i="7" s="1"/>
  <c r="L345" i="7"/>
  <c r="M345" i="7" s="1"/>
  <c r="L344" i="7"/>
  <c r="M344" i="7" s="1"/>
  <c r="L343" i="7"/>
  <c r="M343" i="7" s="1"/>
  <c r="L342" i="7"/>
  <c r="M342" i="7" s="1"/>
  <c r="L341" i="7"/>
  <c r="M341" i="7" s="1"/>
  <c r="L340" i="7"/>
  <c r="M340" i="7" s="1"/>
  <c r="L339" i="7"/>
  <c r="M339" i="7" s="1"/>
  <c r="L338" i="7"/>
  <c r="M338" i="7" s="1"/>
  <c r="L337" i="7"/>
  <c r="M337" i="7" s="1"/>
  <c r="L336" i="7"/>
  <c r="M336" i="7" s="1"/>
  <c r="L335" i="7"/>
  <c r="M335" i="7" s="1"/>
  <c r="L311" i="7"/>
  <c r="M311" i="7" s="1"/>
  <c r="L310" i="7"/>
  <c r="M310" i="7" s="1"/>
  <c r="L309" i="7"/>
  <c r="M309" i="7" s="1"/>
  <c r="L308" i="7"/>
  <c r="M308" i="7" s="1"/>
  <c r="L307" i="7"/>
  <c r="M307" i="7" s="1"/>
  <c r="L306" i="7"/>
  <c r="M306" i="7" s="1"/>
  <c r="L305" i="7"/>
  <c r="M305" i="7" s="1"/>
  <c r="L304" i="7"/>
  <c r="M304" i="7" s="1"/>
  <c r="L303" i="7"/>
  <c r="M303" i="7" s="1"/>
  <c r="L302" i="7"/>
  <c r="M302" i="7" s="1"/>
  <c r="L301" i="7"/>
  <c r="M301" i="7" s="1"/>
  <c r="L300" i="7"/>
  <c r="M300" i="7" s="1"/>
  <c r="L299" i="7"/>
  <c r="M299" i="7" s="1"/>
  <c r="L298" i="7"/>
  <c r="M298" i="7" s="1"/>
  <c r="L297" i="7"/>
  <c r="M297" i="7" s="1"/>
  <c r="L296" i="7"/>
  <c r="M296" i="7" s="1"/>
  <c r="L295" i="7"/>
  <c r="M295" i="7" s="1"/>
  <c r="L294" i="7"/>
  <c r="M294" i="7" s="1"/>
  <c r="L293" i="7"/>
  <c r="M293" i="7" s="1"/>
  <c r="L292" i="7"/>
  <c r="M292" i="7" s="1"/>
  <c r="L291" i="7"/>
  <c r="M291" i="7" s="1"/>
  <c r="L290" i="7"/>
  <c r="M290" i="7" s="1"/>
  <c r="L289" i="7"/>
  <c r="M289" i="7" s="1"/>
  <c r="L288" i="7"/>
  <c r="M288" i="7" s="1"/>
  <c r="L264" i="7"/>
  <c r="M264" i="7" s="1"/>
  <c r="L263" i="7"/>
  <c r="M263" i="7" s="1"/>
  <c r="L262" i="7"/>
  <c r="M262" i="7" s="1"/>
  <c r="L261" i="7"/>
  <c r="M261" i="7" s="1"/>
  <c r="L260" i="7"/>
  <c r="M260" i="7" s="1"/>
  <c r="L259" i="7"/>
  <c r="M259" i="7" s="1"/>
  <c r="L258" i="7"/>
  <c r="M258" i="7" s="1"/>
  <c r="M257" i="7"/>
  <c r="L256" i="7"/>
  <c r="M256" i="7" s="1"/>
  <c r="L255" i="7"/>
  <c r="M255" i="7" s="1"/>
  <c r="L254" i="7"/>
  <c r="M254" i="7" s="1"/>
  <c r="L253" i="7"/>
  <c r="M253" i="7" s="1"/>
  <c r="L252" i="7"/>
  <c r="M252" i="7" s="1"/>
  <c r="L251" i="7"/>
  <c r="M251" i="7" s="1"/>
  <c r="L250" i="7"/>
  <c r="M250" i="7" s="1"/>
  <c r="L249" i="7"/>
  <c r="M249" i="7" s="1"/>
  <c r="L248" i="7"/>
  <c r="M248" i="7" s="1"/>
  <c r="L247" i="7"/>
  <c r="M247" i="7" s="1"/>
  <c r="L246" i="7"/>
  <c r="M246" i="7" s="1"/>
  <c r="L245" i="7"/>
  <c r="M245" i="7" s="1"/>
  <c r="L244" i="7"/>
  <c r="M244" i="7" s="1"/>
  <c r="L243" i="7"/>
  <c r="M243" i="7" s="1"/>
  <c r="L242" i="7"/>
  <c r="M242" i="7" s="1"/>
  <c r="L241" i="7"/>
  <c r="M241" i="7" s="1"/>
  <c r="L217" i="7"/>
  <c r="M217" i="7" s="1"/>
  <c r="L216" i="7"/>
  <c r="M216" i="7" s="1"/>
  <c r="L215" i="7"/>
  <c r="M215" i="7" s="1"/>
  <c r="L214" i="7"/>
  <c r="M214" i="7" s="1"/>
  <c r="L213" i="7"/>
  <c r="M213" i="7" s="1"/>
  <c r="L212" i="7"/>
  <c r="M212" i="7" s="1"/>
  <c r="L211" i="7"/>
  <c r="M211" i="7" s="1"/>
  <c r="L210" i="7"/>
  <c r="M210" i="7" s="1"/>
  <c r="L209" i="7"/>
  <c r="M209" i="7" s="1"/>
  <c r="L208" i="7"/>
  <c r="M208" i="7" s="1"/>
  <c r="L207" i="7"/>
  <c r="M207" i="7" s="1"/>
  <c r="L206" i="7"/>
  <c r="M206" i="7" s="1"/>
  <c r="L205" i="7"/>
  <c r="M205" i="7" s="1"/>
  <c r="L204" i="7"/>
  <c r="M204" i="7" s="1"/>
  <c r="L203" i="7"/>
  <c r="M203" i="7" s="1"/>
  <c r="L202" i="7"/>
  <c r="M202" i="7" s="1"/>
  <c r="L201" i="7"/>
  <c r="M201" i="7" s="1"/>
  <c r="L200" i="7"/>
  <c r="M200" i="7" s="1"/>
  <c r="L199" i="7"/>
  <c r="M199" i="7" s="1"/>
  <c r="L198" i="7"/>
  <c r="M198" i="7" s="1"/>
  <c r="L197" i="7"/>
  <c r="M197" i="7" s="1"/>
  <c r="L196" i="7"/>
  <c r="M196" i="7" s="1"/>
  <c r="L195" i="7"/>
  <c r="M195" i="7" s="1"/>
  <c r="L194" i="7"/>
  <c r="M194" i="7" s="1"/>
  <c r="L170" i="7"/>
  <c r="M170" i="7" s="1"/>
  <c r="L169" i="7"/>
  <c r="M169" i="7" s="1"/>
  <c r="L168" i="7"/>
  <c r="M168" i="7" s="1"/>
  <c r="L167" i="7"/>
  <c r="M167" i="7" s="1"/>
  <c r="L166" i="7"/>
  <c r="M166" i="7" s="1"/>
  <c r="L165" i="7"/>
  <c r="M165" i="7" s="1"/>
  <c r="L164" i="7"/>
  <c r="M164" i="7" s="1"/>
  <c r="L163" i="7"/>
  <c r="M163" i="7" s="1"/>
  <c r="L162" i="7"/>
  <c r="M162" i="7" s="1"/>
  <c r="L161" i="7"/>
  <c r="M161" i="7" s="1"/>
  <c r="L160" i="7"/>
  <c r="M160" i="7" s="1"/>
  <c r="L159" i="7"/>
  <c r="M159" i="7" s="1"/>
  <c r="L158" i="7"/>
  <c r="M158" i="7" s="1"/>
  <c r="L157" i="7"/>
  <c r="M157" i="7" s="1"/>
  <c r="L156" i="7"/>
  <c r="M156" i="7" s="1"/>
  <c r="L155" i="7"/>
  <c r="M155" i="7" s="1"/>
  <c r="L154" i="7"/>
  <c r="M154" i="7" s="1"/>
  <c r="L153" i="7"/>
  <c r="M153" i="7" s="1"/>
  <c r="L152" i="7"/>
  <c r="M152" i="7" s="1"/>
  <c r="L151" i="7"/>
  <c r="M151" i="7" s="1"/>
  <c r="L150" i="7"/>
  <c r="M150" i="7" s="1"/>
  <c r="L149" i="7"/>
  <c r="M149" i="7" s="1"/>
  <c r="L148" i="7"/>
  <c r="M148" i="7" s="1"/>
  <c r="L147" i="7"/>
  <c r="M147" i="7" s="1"/>
  <c r="L123" i="7"/>
  <c r="M123" i="7" s="1"/>
  <c r="L122" i="7"/>
  <c r="M122" i="7" s="1"/>
  <c r="L121" i="7"/>
  <c r="M121" i="7" s="1"/>
  <c r="L120" i="7"/>
  <c r="M120" i="7" s="1"/>
  <c r="L119" i="7"/>
  <c r="M119" i="7" s="1"/>
  <c r="L118" i="7"/>
  <c r="M118" i="7" s="1"/>
  <c r="L117" i="7"/>
  <c r="M117" i="7" s="1"/>
  <c r="L116" i="7"/>
  <c r="M116" i="7" s="1"/>
  <c r="L115" i="7"/>
  <c r="M115" i="7" s="1"/>
  <c r="L114" i="7"/>
  <c r="M114" i="7" s="1"/>
  <c r="L113" i="7"/>
  <c r="M113" i="7" s="1"/>
  <c r="L112" i="7"/>
  <c r="M112" i="7" s="1"/>
  <c r="L111" i="7"/>
  <c r="M111" i="7" s="1"/>
  <c r="L110" i="7"/>
  <c r="M110" i="7" s="1"/>
  <c r="L109" i="7"/>
  <c r="M109" i="7" s="1"/>
  <c r="L108" i="7"/>
  <c r="M108" i="7" s="1"/>
  <c r="L107" i="7"/>
  <c r="M107" i="7" s="1"/>
  <c r="L106" i="7"/>
  <c r="M106" i="7" s="1"/>
  <c r="L105" i="7"/>
  <c r="M105" i="7" s="1"/>
  <c r="L104" i="7"/>
  <c r="M104" i="7" s="1"/>
  <c r="L103" i="7"/>
  <c r="M103" i="7" s="1"/>
  <c r="L102" i="7"/>
  <c r="M102" i="7" s="1"/>
  <c r="L101" i="7"/>
  <c r="M101" i="7" s="1"/>
  <c r="L100" i="7"/>
  <c r="M100" i="7" s="1"/>
  <c r="L76" i="7"/>
  <c r="M76" i="7" s="1"/>
  <c r="L75" i="7"/>
  <c r="M75" i="7" s="1"/>
  <c r="L74" i="7"/>
  <c r="M74" i="7" s="1"/>
  <c r="L73" i="7"/>
  <c r="M73" i="7" s="1"/>
  <c r="L72" i="7"/>
  <c r="M72" i="7" s="1"/>
  <c r="L71" i="7"/>
  <c r="M71" i="7" s="1"/>
  <c r="L70" i="7"/>
  <c r="M70" i="7" s="1"/>
  <c r="L69" i="7"/>
  <c r="M69" i="7" s="1"/>
  <c r="L68" i="7"/>
  <c r="M68" i="7" s="1"/>
  <c r="L67" i="7"/>
  <c r="M67" i="7" s="1"/>
  <c r="L66" i="7"/>
  <c r="M66" i="7" s="1"/>
  <c r="L65" i="7"/>
  <c r="M65" i="7" s="1"/>
  <c r="L64" i="7"/>
  <c r="M64" i="7" s="1"/>
  <c r="L63" i="7"/>
  <c r="M63" i="7" s="1"/>
  <c r="L62" i="7"/>
  <c r="M62" i="7" s="1"/>
  <c r="L61" i="7"/>
  <c r="M61" i="7" s="1"/>
  <c r="L60" i="7"/>
  <c r="M60" i="7" s="1"/>
  <c r="L59" i="7"/>
  <c r="M59" i="7" s="1"/>
  <c r="L58" i="7"/>
  <c r="M58" i="7" s="1"/>
  <c r="L57" i="7"/>
  <c r="M57" i="7" s="1"/>
  <c r="L56" i="7"/>
  <c r="M56" i="7" s="1"/>
  <c r="L55" i="7"/>
  <c r="M55" i="7" s="1"/>
  <c r="L54" i="7"/>
  <c r="M54" i="7" s="1"/>
  <c r="L53" i="7"/>
  <c r="M53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6" i="7"/>
  <c r="M6" i="7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6" i="1"/>
  <c r="M6" i="1" s="1"/>
  <c r="L179" i="5"/>
  <c r="M179" i="5" s="1"/>
  <c r="L178" i="5"/>
  <c r="M178" i="5" s="1"/>
  <c r="L177" i="5"/>
  <c r="M177" i="5" s="1"/>
  <c r="L176" i="5"/>
  <c r="M176" i="5" s="1"/>
  <c r="L175" i="5"/>
  <c r="M175" i="5" s="1"/>
  <c r="L174" i="5"/>
  <c r="M174" i="5" s="1"/>
  <c r="L173" i="5"/>
  <c r="M173" i="5" s="1"/>
  <c r="L172" i="5"/>
  <c r="M172" i="5" s="1"/>
  <c r="L171" i="5"/>
  <c r="M171" i="5" s="1"/>
  <c r="L170" i="5"/>
  <c r="M170" i="5" s="1"/>
  <c r="L169" i="5"/>
  <c r="M169" i="5" s="1"/>
  <c r="L168" i="5"/>
  <c r="M168" i="5" s="1"/>
  <c r="L167" i="5"/>
  <c r="M167" i="5" s="1"/>
  <c r="L159" i="5"/>
  <c r="M159" i="5" s="1"/>
  <c r="L158" i="5"/>
  <c r="M158" i="5" s="1"/>
  <c r="L157" i="5"/>
  <c r="M157" i="5" s="1"/>
  <c r="L156" i="5"/>
  <c r="M156" i="5" s="1"/>
  <c r="L155" i="5"/>
  <c r="M155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7" i="5"/>
  <c r="M147" i="5" s="1"/>
  <c r="L132" i="5"/>
  <c r="M132" i="5" s="1"/>
  <c r="L131" i="5"/>
  <c r="M131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3" i="5"/>
  <c r="M123" i="5" s="1"/>
  <c r="L122" i="5"/>
  <c r="M122" i="5" s="1"/>
  <c r="L121" i="5"/>
  <c r="M121" i="5" s="1"/>
  <c r="L120" i="5"/>
  <c r="M120" i="5" s="1"/>
  <c r="L112" i="5"/>
  <c r="M112" i="5" s="1"/>
  <c r="L111" i="5"/>
  <c r="M111" i="5" s="1"/>
  <c r="L110" i="5"/>
  <c r="M110" i="5" s="1"/>
  <c r="L109" i="5"/>
  <c r="M109" i="5" s="1"/>
  <c r="L108" i="5"/>
  <c r="M108" i="5" s="1"/>
  <c r="L107" i="5"/>
  <c r="M107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85" i="5"/>
  <c r="M85" i="5" s="1"/>
  <c r="L84" i="5"/>
  <c r="M84" i="5" s="1"/>
  <c r="L83" i="5"/>
  <c r="M83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65" i="5"/>
  <c r="M65" i="5" s="1"/>
  <c r="L64" i="5"/>
  <c r="M64" i="5" s="1"/>
  <c r="L63" i="5"/>
  <c r="M63" i="5" s="1"/>
  <c r="L62" i="5"/>
  <c r="M62" i="5" s="1"/>
  <c r="L61" i="5"/>
  <c r="M61" i="5" s="1"/>
  <c r="L60" i="5"/>
  <c r="M60" i="5" s="1"/>
  <c r="L59" i="5"/>
  <c r="M59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38" i="5"/>
  <c r="M38" i="5" s="1"/>
  <c r="L37" i="5"/>
  <c r="M37" i="5" s="1"/>
  <c r="L36" i="5"/>
  <c r="M36" i="5" s="1"/>
  <c r="L35" i="5"/>
  <c r="M35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6" i="5"/>
  <c r="M6" i="5" s="1"/>
  <c r="L209" i="4"/>
  <c r="M209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M202" i="4" s="1"/>
  <c r="L201" i="4"/>
  <c r="M201" i="4" s="1"/>
  <c r="L200" i="4"/>
  <c r="M200" i="4" s="1"/>
  <c r="L199" i="4"/>
  <c r="M199" i="4" s="1"/>
  <c r="L198" i="4"/>
  <c r="M198" i="4" s="1"/>
  <c r="L197" i="4"/>
  <c r="M197" i="4" s="1"/>
  <c r="L196" i="4"/>
  <c r="M196" i="4" s="1"/>
  <c r="L195" i="4"/>
  <c r="M195" i="4" s="1"/>
  <c r="L194" i="4"/>
  <c r="M194" i="4" s="1"/>
  <c r="L186" i="4"/>
  <c r="M186" i="4" s="1"/>
  <c r="L185" i="4"/>
  <c r="M185" i="4" s="1"/>
  <c r="L184" i="4"/>
  <c r="M184" i="4" s="1"/>
  <c r="L183" i="4"/>
  <c r="M183" i="4" s="1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6" i="4"/>
  <c r="M6" i="4" s="1"/>
  <c r="L137" i="6" l="1"/>
  <c r="M137" i="6" s="1"/>
  <c r="L136" i="6"/>
  <c r="M136" i="6" s="1"/>
  <c r="L135" i="6"/>
  <c r="M135" i="6" s="1"/>
  <c r="L134" i="6"/>
  <c r="M134" i="6" s="1"/>
  <c r="L133" i="6"/>
  <c r="M133" i="6" s="1"/>
  <c r="L132" i="6"/>
  <c r="M132" i="6" s="1"/>
  <c r="L131" i="6"/>
  <c r="M131" i="6" s="1"/>
  <c r="L130" i="6"/>
  <c r="M130" i="6" s="1"/>
  <c r="L122" i="6"/>
  <c r="M122" i="6" s="1"/>
  <c r="L121" i="6"/>
  <c r="M121" i="6" s="1"/>
  <c r="L120" i="6"/>
  <c r="M120" i="6" s="1"/>
  <c r="L119" i="6"/>
  <c r="M119" i="6" s="1"/>
  <c r="L118" i="6"/>
  <c r="M118" i="6" s="1"/>
  <c r="L117" i="6"/>
  <c r="M117" i="6" s="1"/>
  <c r="L116" i="6"/>
  <c r="M116" i="6" s="1"/>
  <c r="L115" i="6"/>
  <c r="M115" i="6" s="1"/>
  <c r="L107" i="6"/>
  <c r="M107" i="6" s="1"/>
  <c r="L106" i="6"/>
  <c r="M106" i="6" s="1"/>
  <c r="L105" i="6"/>
  <c r="M105" i="6" s="1"/>
  <c r="L104" i="6"/>
  <c r="M104" i="6" s="1"/>
  <c r="L103" i="6"/>
  <c r="M103" i="6" s="1"/>
  <c r="L102" i="6"/>
  <c r="M102" i="6" s="1"/>
  <c r="L101" i="6"/>
  <c r="M101" i="6" s="1"/>
  <c r="L100" i="6"/>
  <c r="M100" i="6" s="1"/>
  <c r="L90" i="6"/>
  <c r="M90" i="6" s="1"/>
  <c r="L89" i="6"/>
  <c r="M89" i="6" s="1"/>
  <c r="L88" i="6"/>
  <c r="M88" i="6" s="1"/>
  <c r="L87" i="6"/>
  <c r="M87" i="6" s="1"/>
  <c r="L86" i="6"/>
  <c r="M86" i="6" s="1"/>
  <c r="L85" i="6"/>
  <c r="M85" i="6" s="1"/>
  <c r="L84" i="6"/>
  <c r="M84" i="6" s="1"/>
  <c r="L83" i="6"/>
  <c r="M83" i="6" s="1"/>
  <c r="L75" i="6"/>
  <c r="M75" i="6" s="1"/>
  <c r="L74" i="6"/>
  <c r="M74" i="6" s="1"/>
  <c r="L73" i="6"/>
  <c r="M73" i="6" s="1"/>
  <c r="L72" i="6"/>
  <c r="M72" i="6" s="1"/>
  <c r="L71" i="6"/>
  <c r="M71" i="6" s="1"/>
  <c r="L70" i="6"/>
  <c r="M70" i="6" s="1"/>
  <c r="L69" i="6"/>
  <c r="M69" i="6" s="1"/>
  <c r="L68" i="6"/>
  <c r="M68" i="6" s="1"/>
  <c r="L60" i="6"/>
  <c r="M60" i="6" s="1"/>
  <c r="L59" i="6"/>
  <c r="M59" i="6" s="1"/>
  <c r="L58" i="6"/>
  <c r="M58" i="6" s="1"/>
  <c r="L57" i="6"/>
  <c r="M57" i="6" s="1"/>
  <c r="L56" i="6"/>
  <c r="M56" i="6" s="1"/>
  <c r="L55" i="6"/>
  <c r="M55" i="6" s="1"/>
  <c r="L54" i="6"/>
  <c r="M54" i="6" s="1"/>
  <c r="L53" i="6"/>
  <c r="M53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28" i="6"/>
  <c r="M28" i="6" s="1"/>
  <c r="L27" i="6"/>
  <c r="M27" i="6" s="1"/>
  <c r="L26" i="6"/>
  <c r="M26" i="6" s="1"/>
  <c r="L25" i="6"/>
  <c r="M25" i="6" s="1"/>
  <c r="L24" i="6"/>
  <c r="M24" i="6" s="1"/>
  <c r="L23" i="6"/>
  <c r="M23" i="6" s="1"/>
  <c r="L22" i="6"/>
  <c r="M22" i="6" s="1"/>
  <c r="L21" i="6"/>
  <c r="M21" i="6" s="1"/>
  <c r="L7" i="6"/>
  <c r="M7" i="6" s="1"/>
  <c r="L8" i="6"/>
  <c r="M8" i="6" s="1"/>
  <c r="L9" i="6"/>
  <c r="M9" i="6" s="1"/>
  <c r="L10" i="6"/>
  <c r="M10" i="6" s="1"/>
  <c r="L11" i="6"/>
  <c r="M11" i="6" s="1"/>
  <c r="L12" i="6"/>
  <c r="M12" i="6" s="1"/>
  <c r="L13" i="6"/>
  <c r="M13" i="6" s="1"/>
  <c r="L6" i="6"/>
  <c r="M6" i="6" s="1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AD69" i="14"/>
  <c r="AB69" i="14"/>
  <c r="AD106" i="14"/>
  <c r="AB106" i="14"/>
  <c r="AD92" i="14"/>
  <c r="AB92" i="14"/>
  <c r="AD79" i="14"/>
  <c r="AB79" i="14"/>
  <c r="AD17" i="14"/>
  <c r="AB17" i="14"/>
  <c r="AD46" i="14"/>
  <c r="AB46" i="14"/>
  <c r="AD113" i="14"/>
  <c r="AB113" i="14"/>
  <c r="AD109" i="14"/>
  <c r="AB109" i="14"/>
  <c r="AD86" i="14"/>
  <c r="AB86" i="14"/>
  <c r="AD108" i="14"/>
  <c r="AB108" i="14"/>
  <c r="AD119" i="14"/>
  <c r="AB119" i="14"/>
  <c r="AD65" i="14"/>
  <c r="AB65" i="14"/>
  <c r="AD107" i="14"/>
  <c r="AB107" i="14"/>
  <c r="AD20" i="14"/>
  <c r="AB20" i="14"/>
  <c r="AD63" i="14"/>
  <c r="AB63" i="14"/>
  <c r="AD40" i="14"/>
  <c r="AB40" i="14"/>
  <c r="AD57" i="14"/>
  <c r="AB57" i="14"/>
  <c r="AD110" i="14"/>
  <c r="AB110" i="14"/>
  <c r="AD28" i="14"/>
  <c r="AB28" i="14"/>
  <c r="AD123" i="14"/>
  <c r="AB123" i="14"/>
  <c r="AD66" i="14"/>
  <c r="AB66" i="14"/>
  <c r="AD55" i="14"/>
  <c r="AB55" i="14"/>
  <c r="AD58" i="14"/>
  <c r="AB58" i="14"/>
  <c r="AD44" i="14"/>
  <c r="AB44" i="14"/>
  <c r="AD9" i="14"/>
  <c r="AB9" i="14"/>
  <c r="AD102" i="14"/>
  <c r="AB102" i="14"/>
  <c r="AD8" i="14"/>
  <c r="AB8" i="14"/>
  <c r="AD51" i="14"/>
  <c r="AB51" i="14"/>
  <c r="AD88" i="14"/>
  <c r="AB88" i="14"/>
  <c r="AD120" i="14"/>
  <c r="AB120" i="14"/>
  <c r="AD82" i="14"/>
  <c r="AB82" i="14"/>
  <c r="AD49" i="14"/>
  <c r="AB49" i="14"/>
  <c r="AD72" i="14"/>
  <c r="AB72" i="14"/>
  <c r="AD56" i="14"/>
  <c r="AB56" i="14"/>
  <c r="AD116" i="14"/>
  <c r="AB116" i="14"/>
  <c r="AD100" i="14"/>
  <c r="AB100" i="14"/>
  <c r="AD85" i="14"/>
  <c r="AB85" i="14"/>
  <c r="AD96" i="14"/>
  <c r="AB96" i="14"/>
  <c r="AD115" i="14"/>
  <c r="AB115" i="14"/>
  <c r="AD94" i="14"/>
  <c r="AB94" i="14"/>
  <c r="AD83" i="14"/>
  <c r="AB83" i="14"/>
  <c r="AD23" i="14"/>
  <c r="AB23" i="14"/>
  <c r="AD37" i="14"/>
  <c r="AB37" i="14"/>
  <c r="AD78" i="14"/>
  <c r="AB78" i="14"/>
  <c r="AD62" i="14"/>
  <c r="AB62" i="14"/>
  <c r="AD97" i="14"/>
  <c r="AB97" i="14"/>
  <c r="AD38" i="14"/>
  <c r="AB38" i="14"/>
  <c r="AD31" i="14"/>
  <c r="AB31" i="14"/>
  <c r="AD54" i="14"/>
  <c r="AB54" i="14"/>
  <c r="AD89" i="14"/>
  <c r="AB89" i="14"/>
  <c r="AD125" i="14"/>
  <c r="AB125" i="14"/>
  <c r="AD67" i="14"/>
  <c r="AB67" i="14"/>
  <c r="AD87" i="14"/>
  <c r="AB87" i="14"/>
  <c r="AD61" i="14"/>
  <c r="AB61" i="14"/>
  <c r="AD76" i="14"/>
  <c r="AB76" i="14"/>
  <c r="AD32" i="14"/>
  <c r="AB32" i="14"/>
  <c r="AD117" i="14"/>
  <c r="AB117" i="14"/>
  <c r="AD34" i="14"/>
  <c r="AB34" i="14"/>
  <c r="AD105" i="14"/>
  <c r="AB105" i="14"/>
  <c r="AD48" i="14"/>
  <c r="AB48" i="14"/>
  <c r="AD121" i="14"/>
  <c r="AB121" i="14"/>
  <c r="AD33" i="14"/>
  <c r="AB33" i="14"/>
  <c r="AD75" i="14"/>
  <c r="AB75" i="14"/>
  <c r="AD16" i="14"/>
  <c r="AB16" i="14"/>
  <c r="AD74" i="14"/>
  <c r="AB74" i="14"/>
  <c r="AD71" i="14"/>
  <c r="AB71" i="14"/>
  <c r="AD64" i="14"/>
  <c r="AB64" i="14"/>
  <c r="AD114" i="14"/>
  <c r="AB114" i="14"/>
  <c r="AD81" i="14"/>
  <c r="AB81" i="14"/>
  <c r="AD112" i="14"/>
  <c r="AB112" i="14"/>
  <c r="AD25" i="14"/>
  <c r="AB25" i="14"/>
  <c r="AD77" i="14"/>
  <c r="AB77" i="14"/>
  <c r="AD70" i="14"/>
  <c r="AB70" i="14"/>
  <c r="AD111" i="14"/>
  <c r="AB111" i="14"/>
  <c r="AD101" i="14"/>
  <c r="AB101" i="14"/>
  <c r="AD47" i="14"/>
  <c r="AB47" i="14"/>
  <c r="AD98" i="14"/>
  <c r="AB98" i="14"/>
  <c r="AD59" i="14"/>
  <c r="AB59" i="14"/>
  <c r="AD10" i="14"/>
  <c r="AB10" i="14"/>
  <c r="AD90" i="14"/>
  <c r="AB90" i="14"/>
  <c r="AD24" i="14"/>
  <c r="AB24" i="14"/>
  <c r="AD27" i="14"/>
  <c r="AB27" i="14"/>
  <c r="AD84" i="14"/>
  <c r="AB84" i="14"/>
  <c r="AD13" i="14"/>
  <c r="AB13" i="14"/>
  <c r="AD68" i="14"/>
  <c r="AB68" i="14"/>
  <c r="AD11" i="14"/>
  <c r="AB11" i="14"/>
  <c r="AD91" i="14"/>
  <c r="AB91" i="14"/>
  <c r="AD73" i="14"/>
  <c r="AB73" i="14"/>
  <c r="AD50" i="14"/>
  <c r="AB50" i="14"/>
  <c r="AD93" i="14"/>
  <c r="AB93" i="14"/>
  <c r="AD14" i="14"/>
  <c r="AB14" i="14"/>
  <c r="AD103" i="14"/>
  <c r="AB103" i="14"/>
  <c r="AD22" i="14"/>
  <c r="AB22" i="14"/>
  <c r="AD118" i="14"/>
  <c r="AB118" i="14"/>
  <c r="AD124" i="14"/>
  <c r="AB124" i="14"/>
  <c r="AD12" i="14"/>
  <c r="AB12" i="14"/>
  <c r="AD19" i="14"/>
  <c r="AB19" i="14"/>
  <c r="AD36" i="14"/>
  <c r="AB36" i="14"/>
  <c r="AD60" i="14"/>
  <c r="AB60" i="14"/>
  <c r="AD41" i="14"/>
  <c r="AB41" i="14"/>
  <c r="AD104" i="14"/>
  <c r="AB104" i="14"/>
  <c r="AD122" i="14"/>
  <c r="AB122" i="14"/>
  <c r="AD43" i="14"/>
  <c r="AB43" i="14"/>
  <c r="AD26" i="14"/>
  <c r="AB26" i="14"/>
  <c r="AD95" i="14"/>
  <c r="AB95" i="14"/>
  <c r="AD80" i="14"/>
  <c r="AB80" i="14"/>
  <c r="AD53" i="14"/>
  <c r="AB53" i="14"/>
  <c r="AD45" i="14"/>
  <c r="AB45" i="14"/>
  <c r="AD21" i="14"/>
  <c r="AB21" i="14"/>
  <c r="AD99" i="14"/>
  <c r="AB99" i="14"/>
  <c r="AD39" i="14"/>
  <c r="AB39" i="14"/>
  <c r="AD52" i="14"/>
  <c r="AB52" i="14"/>
  <c r="AD42" i="14"/>
  <c r="AB42" i="14"/>
  <c r="AD15" i="14"/>
  <c r="AB15" i="14"/>
  <c r="AD18" i="14"/>
  <c r="AB18" i="14"/>
  <c r="AD29" i="14"/>
  <c r="AB29" i="14"/>
  <c r="AD30" i="14"/>
  <c r="AB30" i="14"/>
  <c r="AD35" i="14"/>
  <c r="AB35" i="14"/>
  <c r="AD127" i="14" l="1"/>
  <c r="AB127" i="14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AD26" i="13"/>
  <c r="AB26" i="13"/>
  <c r="AD114" i="13"/>
  <c r="AB114" i="13"/>
  <c r="AD104" i="13"/>
  <c r="AB104" i="13"/>
  <c r="AD9" i="13"/>
  <c r="AB9" i="13"/>
  <c r="AD75" i="13"/>
  <c r="AB75" i="13"/>
  <c r="AD76" i="13"/>
  <c r="AB76" i="13"/>
  <c r="AD105" i="13"/>
  <c r="AB105" i="13"/>
  <c r="AD100" i="13"/>
  <c r="AB100" i="13"/>
  <c r="AD87" i="13"/>
  <c r="AB87" i="13"/>
  <c r="AD124" i="13"/>
  <c r="AB124" i="13"/>
  <c r="AD111" i="13"/>
  <c r="AB111" i="13"/>
  <c r="AD93" i="13"/>
  <c r="AB93" i="13"/>
  <c r="AD34" i="13"/>
  <c r="AB34" i="13"/>
  <c r="AD92" i="13"/>
  <c r="AB92" i="13"/>
  <c r="AD106" i="13"/>
  <c r="AB106" i="13"/>
  <c r="AD112" i="13"/>
  <c r="AB112" i="13"/>
  <c r="AD15" i="13"/>
  <c r="AB15" i="13"/>
  <c r="AD56" i="13"/>
  <c r="AB56" i="13"/>
  <c r="AD57" i="13"/>
  <c r="AB57" i="13"/>
  <c r="AD86" i="13"/>
  <c r="AB86" i="13"/>
  <c r="AD70" i="13"/>
  <c r="AB70" i="13"/>
  <c r="AD33" i="13"/>
  <c r="AB33" i="13"/>
  <c r="AD77" i="13"/>
  <c r="AB77" i="13"/>
  <c r="AD53" i="13"/>
  <c r="AB53" i="13"/>
  <c r="AD20" i="13"/>
  <c r="AB20" i="13"/>
  <c r="AD45" i="13"/>
  <c r="AB45" i="13"/>
  <c r="AD103" i="13"/>
  <c r="AB103" i="13"/>
  <c r="AD21" i="13"/>
  <c r="AB21" i="13"/>
  <c r="AD62" i="13"/>
  <c r="AB62" i="13"/>
  <c r="AD22" i="13"/>
  <c r="AB22" i="13"/>
  <c r="AD66" i="13"/>
  <c r="AB66" i="13"/>
  <c r="AD14" i="13"/>
  <c r="AB14" i="13"/>
  <c r="AD35" i="13"/>
  <c r="AB35" i="13"/>
  <c r="AD120" i="13"/>
  <c r="AB120" i="13"/>
  <c r="AD113" i="13"/>
  <c r="AB113" i="13"/>
  <c r="AD89" i="13"/>
  <c r="AB89" i="13"/>
  <c r="AD107" i="13"/>
  <c r="AB107" i="13"/>
  <c r="AD37" i="13"/>
  <c r="AB37" i="13"/>
  <c r="AD55" i="13"/>
  <c r="AB55" i="13"/>
  <c r="AD36" i="13"/>
  <c r="AB36" i="13"/>
  <c r="AD95" i="13"/>
  <c r="AB95" i="13"/>
  <c r="AD81" i="13"/>
  <c r="AB81" i="13"/>
  <c r="AD83" i="13"/>
  <c r="AB83" i="13"/>
  <c r="AD102" i="13"/>
  <c r="AB102" i="13"/>
  <c r="AD54" i="13"/>
  <c r="AB54" i="13"/>
  <c r="AD109" i="13"/>
  <c r="AB109" i="13"/>
  <c r="AD91" i="13"/>
  <c r="AB91" i="13"/>
  <c r="AD18" i="13"/>
  <c r="AB18" i="13"/>
  <c r="AD61" i="13"/>
  <c r="AB61" i="13"/>
  <c r="AD82" i="13"/>
  <c r="AB82" i="13"/>
  <c r="AD52" i="13"/>
  <c r="AB52" i="13"/>
  <c r="AD125" i="13"/>
  <c r="AB125" i="13"/>
  <c r="AD84" i="13"/>
  <c r="AB84" i="13"/>
  <c r="AD41" i="13"/>
  <c r="AB41" i="13"/>
  <c r="AD88" i="13"/>
  <c r="AB88" i="13"/>
  <c r="AD108" i="13"/>
  <c r="AB108" i="13"/>
  <c r="AD115" i="13"/>
  <c r="AB115" i="13"/>
  <c r="AD43" i="13"/>
  <c r="AB43" i="13"/>
  <c r="AD78" i="13"/>
  <c r="AB78" i="13"/>
  <c r="AD99" i="13"/>
  <c r="AB99" i="13"/>
  <c r="AD122" i="13"/>
  <c r="AB122" i="13"/>
  <c r="AD90" i="13"/>
  <c r="AB90" i="13"/>
  <c r="AD65" i="13"/>
  <c r="AB65" i="13"/>
  <c r="AD80" i="13"/>
  <c r="AB80" i="13"/>
  <c r="AD23" i="13"/>
  <c r="AB23" i="13"/>
  <c r="AD39" i="13"/>
  <c r="AB39" i="13"/>
  <c r="AD74" i="13"/>
  <c r="AB74" i="13"/>
  <c r="AD101" i="13"/>
  <c r="AB101" i="13"/>
  <c r="AD51" i="13"/>
  <c r="AB51" i="13"/>
  <c r="AD110" i="13"/>
  <c r="AB110" i="13"/>
  <c r="AD31" i="13"/>
  <c r="AB31" i="13"/>
  <c r="AD68" i="13"/>
  <c r="AB68" i="13"/>
  <c r="AD97" i="13"/>
  <c r="AB97" i="13"/>
  <c r="AD38" i="13"/>
  <c r="AB38" i="13"/>
  <c r="AD44" i="13"/>
  <c r="AB44" i="13"/>
  <c r="AD19" i="13"/>
  <c r="AB19" i="13"/>
  <c r="AD32" i="13"/>
  <c r="AB32" i="13"/>
  <c r="AD69" i="13"/>
  <c r="AB69" i="13"/>
  <c r="AD29" i="13"/>
  <c r="AB29" i="13"/>
  <c r="AD60" i="13"/>
  <c r="AB60" i="13"/>
  <c r="AD85" i="13"/>
  <c r="AB85" i="13"/>
  <c r="AD16" i="13"/>
  <c r="AB16" i="13"/>
  <c r="AD8" i="13"/>
  <c r="AB8" i="13"/>
  <c r="AD123" i="13"/>
  <c r="AB123" i="13"/>
  <c r="AD73" i="13"/>
  <c r="AB73" i="13"/>
  <c r="AD17" i="13"/>
  <c r="AB17" i="13"/>
  <c r="AD121" i="13"/>
  <c r="AB121" i="13"/>
  <c r="AD58" i="13"/>
  <c r="AB58" i="13"/>
  <c r="AD59" i="13"/>
  <c r="AB59" i="13"/>
  <c r="AD98" i="13"/>
  <c r="AB98" i="13"/>
  <c r="AD12" i="13"/>
  <c r="AB12" i="13"/>
  <c r="AD117" i="13"/>
  <c r="AB117" i="13"/>
  <c r="AD71" i="13"/>
  <c r="AB71" i="13"/>
  <c r="AD67" i="13"/>
  <c r="AB67" i="13"/>
  <c r="AD13" i="13"/>
  <c r="AB13" i="13"/>
  <c r="AD11" i="13"/>
  <c r="AB11" i="13"/>
  <c r="AD48" i="13"/>
  <c r="AB48" i="13"/>
  <c r="AD47" i="13"/>
  <c r="AB47" i="13"/>
  <c r="AD63" i="13"/>
  <c r="AB63" i="13"/>
  <c r="AD10" i="13"/>
  <c r="AB10" i="13"/>
  <c r="AD64" i="13"/>
  <c r="AB64" i="13"/>
  <c r="AD96" i="13"/>
  <c r="AB96" i="13"/>
  <c r="AD119" i="13"/>
  <c r="AB119" i="13"/>
  <c r="AD42" i="13"/>
  <c r="AB42" i="13"/>
  <c r="AD116" i="13"/>
  <c r="AB116" i="13"/>
  <c r="AD118" i="13"/>
  <c r="AB118" i="13"/>
  <c r="AD50" i="13"/>
  <c r="AB50" i="13"/>
  <c r="AD72" i="13"/>
  <c r="AB72" i="13"/>
  <c r="AD25" i="13"/>
  <c r="AB25" i="13"/>
  <c r="AD79" i="13"/>
  <c r="AB79" i="13"/>
  <c r="AD40" i="13"/>
  <c r="AB40" i="13"/>
  <c r="AD49" i="13"/>
  <c r="AB49" i="13"/>
  <c r="AD94" i="13"/>
  <c r="AB94" i="13"/>
  <c r="AD46" i="13"/>
  <c r="AB46" i="13"/>
  <c r="AD28" i="13"/>
  <c r="AB28" i="13"/>
  <c r="AD27" i="13"/>
  <c r="AB27" i="13"/>
  <c r="AD30" i="13"/>
  <c r="AB30" i="13"/>
  <c r="AD24" i="13"/>
  <c r="AB24" i="13"/>
  <c r="AD127" i="13" l="1"/>
  <c r="AB127" i="13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D97" i="12"/>
  <c r="AB97" i="12"/>
  <c r="AD34" i="12"/>
  <c r="AB34" i="12"/>
  <c r="AD70" i="12"/>
  <c r="AB70" i="12"/>
  <c r="AD37" i="12"/>
  <c r="AB37" i="12"/>
  <c r="AD121" i="12"/>
  <c r="AB121" i="12"/>
  <c r="AD21" i="12"/>
  <c r="AB21" i="12"/>
  <c r="AD12" i="12"/>
  <c r="AB12" i="12"/>
  <c r="AD122" i="12"/>
  <c r="AB122" i="12"/>
  <c r="AD45" i="12"/>
  <c r="AB45" i="12"/>
  <c r="AD30" i="12"/>
  <c r="AB30" i="12"/>
  <c r="AD33" i="12"/>
  <c r="AB33" i="12"/>
  <c r="AD111" i="12"/>
  <c r="AB111" i="12"/>
  <c r="AD93" i="12"/>
  <c r="AB93" i="12"/>
  <c r="AD74" i="12"/>
  <c r="AB74" i="12"/>
  <c r="AD57" i="12"/>
  <c r="AB57" i="12"/>
  <c r="AD100" i="12"/>
  <c r="AB100" i="12"/>
  <c r="AD69" i="12"/>
  <c r="AB69" i="12"/>
  <c r="AD48" i="12"/>
  <c r="AB48" i="12"/>
  <c r="AD123" i="12"/>
  <c r="AB123" i="12"/>
  <c r="AD36" i="12"/>
  <c r="AB36" i="12"/>
  <c r="AD107" i="12"/>
  <c r="AB107" i="12"/>
  <c r="AD10" i="12"/>
  <c r="AB10" i="12"/>
  <c r="AD98" i="12"/>
  <c r="AB98" i="12"/>
  <c r="AD60" i="12"/>
  <c r="AB60" i="12"/>
  <c r="AD104" i="12"/>
  <c r="AB104" i="12"/>
  <c r="AD118" i="12"/>
  <c r="AB118" i="12"/>
  <c r="AD92" i="12"/>
  <c r="AB92" i="12"/>
  <c r="AD91" i="12"/>
  <c r="AB91" i="12"/>
  <c r="AD72" i="12"/>
  <c r="AB72" i="12"/>
  <c r="AD86" i="12"/>
  <c r="AB86" i="12"/>
  <c r="AD113" i="12"/>
  <c r="AB113" i="12"/>
  <c r="AD112" i="12"/>
  <c r="AB112" i="12"/>
  <c r="AD26" i="12"/>
  <c r="AB26" i="12"/>
  <c r="AD116" i="12"/>
  <c r="AB116" i="12"/>
  <c r="AD63" i="12"/>
  <c r="AB63" i="12"/>
  <c r="AD83" i="12"/>
  <c r="AB83" i="12"/>
  <c r="AD25" i="12"/>
  <c r="AB25" i="12"/>
  <c r="AD106" i="12"/>
  <c r="AB106" i="12"/>
  <c r="AD94" i="12"/>
  <c r="AB94" i="12"/>
  <c r="AD114" i="12"/>
  <c r="AB114" i="12"/>
  <c r="AD32" i="12"/>
  <c r="AB32" i="12"/>
  <c r="AD88" i="12"/>
  <c r="AB88" i="12"/>
  <c r="AD105" i="12"/>
  <c r="AB105" i="12"/>
  <c r="AD43" i="12"/>
  <c r="AB43" i="12"/>
  <c r="AD29" i="12"/>
  <c r="AB29" i="12"/>
  <c r="AD64" i="12"/>
  <c r="AB64" i="12"/>
  <c r="AD51" i="12"/>
  <c r="AB51" i="12"/>
  <c r="AD78" i="12"/>
  <c r="AB78" i="12"/>
  <c r="AD90" i="12"/>
  <c r="AB90" i="12"/>
  <c r="AD8" i="12"/>
  <c r="AB8" i="12"/>
  <c r="AD73" i="12"/>
  <c r="AB73" i="12"/>
  <c r="AD28" i="12"/>
  <c r="AB28" i="12"/>
  <c r="AD38" i="12"/>
  <c r="AB38" i="12"/>
  <c r="AD46" i="12"/>
  <c r="AB46" i="12"/>
  <c r="AD17" i="12"/>
  <c r="AB17" i="12"/>
  <c r="AD40" i="12"/>
  <c r="AB40" i="12"/>
  <c r="AD102" i="12"/>
  <c r="AB102" i="12"/>
  <c r="AD99" i="12"/>
  <c r="AB99" i="12"/>
  <c r="AD24" i="12"/>
  <c r="AB24" i="12"/>
  <c r="AD52" i="12"/>
  <c r="AB52" i="12"/>
  <c r="AD110" i="12"/>
  <c r="AB110" i="12"/>
  <c r="AD87" i="12"/>
  <c r="AB87" i="12"/>
  <c r="AD9" i="12"/>
  <c r="AB9" i="12"/>
  <c r="AD89" i="12"/>
  <c r="AB89" i="12"/>
  <c r="AD35" i="12"/>
  <c r="AB35" i="12"/>
  <c r="AD120" i="12"/>
  <c r="AB120" i="12"/>
  <c r="AD79" i="12"/>
  <c r="AB79" i="12"/>
  <c r="AD23" i="12"/>
  <c r="AB23" i="12"/>
  <c r="AD108" i="12"/>
  <c r="AB108" i="12"/>
  <c r="AD65" i="12"/>
  <c r="AB65" i="12"/>
  <c r="AD103" i="12"/>
  <c r="AB103" i="12"/>
  <c r="AD53" i="12"/>
  <c r="AB53" i="12"/>
  <c r="AD55" i="12"/>
  <c r="AB55" i="12"/>
  <c r="AD77" i="12"/>
  <c r="AB77" i="12"/>
  <c r="AD15" i="12"/>
  <c r="AB15" i="12"/>
  <c r="AD54" i="12"/>
  <c r="AB54" i="12"/>
  <c r="AD101" i="12"/>
  <c r="AB101" i="12"/>
  <c r="AD20" i="12"/>
  <c r="AB20" i="12"/>
  <c r="AD82" i="12"/>
  <c r="AB82" i="12"/>
  <c r="AD19" i="12"/>
  <c r="AB19" i="12"/>
  <c r="AD68" i="12"/>
  <c r="AB68" i="12"/>
  <c r="AD81" i="12"/>
  <c r="AB81" i="12"/>
  <c r="AD11" i="12"/>
  <c r="AB11" i="12"/>
  <c r="AD75" i="12"/>
  <c r="AB75" i="12"/>
  <c r="AD80" i="12"/>
  <c r="AB80" i="12"/>
  <c r="AD59" i="12"/>
  <c r="AB59" i="12"/>
  <c r="AD58" i="12"/>
  <c r="AB58" i="12"/>
  <c r="AD56" i="12"/>
  <c r="AB56" i="12"/>
  <c r="AD22" i="12"/>
  <c r="AB22" i="12"/>
  <c r="AD115" i="12"/>
  <c r="AB115" i="12"/>
  <c r="AD14" i="12"/>
  <c r="AB14" i="12"/>
  <c r="AD119" i="12"/>
  <c r="AB119" i="12"/>
  <c r="AD66" i="12"/>
  <c r="AB66" i="12"/>
  <c r="AD95" i="12"/>
  <c r="AB95" i="12"/>
  <c r="AD62" i="12"/>
  <c r="AB62" i="12"/>
  <c r="AB44" i="12"/>
  <c r="AD85" i="12"/>
  <c r="AB85" i="12"/>
  <c r="AD67" i="12"/>
  <c r="AB67" i="12"/>
  <c r="AD50" i="12"/>
  <c r="AB50" i="12"/>
  <c r="AD27" i="12"/>
  <c r="AB27" i="12"/>
  <c r="AD13" i="12"/>
  <c r="AB13" i="12"/>
  <c r="AD41" i="12"/>
  <c r="AB41" i="12"/>
  <c r="AD47" i="12"/>
  <c r="AB47" i="12"/>
  <c r="AD109" i="12"/>
  <c r="AB109" i="12"/>
  <c r="AD96" i="12"/>
  <c r="AB96" i="12"/>
  <c r="AD61" i="12"/>
  <c r="AB61" i="12"/>
  <c r="AD125" i="12"/>
  <c r="AB125" i="12"/>
  <c r="AD71" i="12"/>
  <c r="AB71" i="12"/>
  <c r="AD42" i="12"/>
  <c r="AB42" i="12"/>
  <c r="AD76" i="12"/>
  <c r="AB76" i="12"/>
  <c r="AD39" i="12"/>
  <c r="AB39" i="12"/>
  <c r="AD31" i="12"/>
  <c r="AB31" i="12"/>
  <c r="AD84" i="12"/>
  <c r="AB84" i="12"/>
  <c r="AD117" i="12"/>
  <c r="AB117" i="12"/>
  <c r="AD49" i="12"/>
  <c r="AB49" i="12"/>
  <c r="AD124" i="12"/>
  <c r="AB124" i="12"/>
  <c r="AD18" i="12"/>
  <c r="AB18" i="12"/>
  <c r="AD16" i="12"/>
  <c r="AB16" i="12"/>
  <c r="AD127" i="12" l="1"/>
  <c r="AB127" i="12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C127" i="3"/>
  <c r="AD127" i="3" l="1"/>
  <c r="AB127" i="3"/>
  <c r="AD25" i="3"/>
  <c r="AD9" i="3"/>
  <c r="AD14" i="3"/>
  <c r="AD95" i="3"/>
  <c r="AD59" i="3"/>
  <c r="AB25" i="3"/>
  <c r="AB9" i="3"/>
  <c r="AB14" i="3"/>
  <c r="AB95" i="3"/>
  <c r="AB59" i="3"/>
  <c r="AD113" i="3"/>
  <c r="AD20" i="3"/>
  <c r="AD22" i="3"/>
  <c r="AD43" i="3"/>
  <c r="AD110" i="3"/>
  <c r="AD11" i="3"/>
  <c r="AD42" i="3"/>
  <c r="AD86" i="3"/>
  <c r="AD84" i="3"/>
  <c r="AD77" i="3"/>
  <c r="AD108" i="3"/>
  <c r="AD34" i="3"/>
  <c r="AD68" i="3"/>
  <c r="AD26" i="3"/>
  <c r="AD89" i="3"/>
  <c r="AD85" i="3"/>
  <c r="AD82" i="3"/>
  <c r="AD46" i="3"/>
  <c r="AD30" i="3"/>
  <c r="AD60" i="3"/>
  <c r="AD39" i="3"/>
  <c r="AD123" i="3"/>
  <c r="AD29" i="3"/>
  <c r="AD13" i="3"/>
  <c r="AD74" i="3"/>
  <c r="AB113" i="3"/>
  <c r="AB20" i="3"/>
  <c r="AB22" i="3"/>
  <c r="AB43" i="3"/>
  <c r="AB110" i="3"/>
  <c r="AB11" i="3"/>
  <c r="AB42" i="3"/>
  <c r="AB86" i="3"/>
  <c r="AB84" i="3"/>
  <c r="AB77" i="3"/>
  <c r="AB108" i="3"/>
  <c r="AB34" i="3"/>
  <c r="AB68" i="3"/>
  <c r="AB26" i="3"/>
  <c r="AB89" i="3"/>
  <c r="AB85" i="3"/>
  <c r="AB82" i="3"/>
  <c r="AB46" i="3"/>
  <c r="AB30" i="3"/>
  <c r="AB60" i="3"/>
  <c r="AB39" i="3"/>
  <c r="AB123" i="3"/>
  <c r="AB29" i="3"/>
  <c r="AB13" i="3"/>
  <c r="AB74" i="3"/>
  <c r="AD106" i="3"/>
  <c r="AB106" i="3"/>
  <c r="AD27" i="3"/>
  <c r="AB27" i="3"/>
  <c r="AD36" i="3"/>
  <c r="AB36" i="3"/>
  <c r="AD115" i="3"/>
  <c r="AB115" i="3"/>
  <c r="AD76" i="3"/>
  <c r="AB76" i="3"/>
  <c r="AD18" i="3"/>
  <c r="AB18" i="3"/>
  <c r="AD124" i="3"/>
  <c r="AB124" i="3"/>
  <c r="AD79" i="3"/>
  <c r="AB79" i="3"/>
  <c r="AD109" i="3"/>
  <c r="AB109" i="3"/>
  <c r="AD48" i="3"/>
  <c r="AB48" i="3"/>
  <c r="AD66" i="3"/>
  <c r="AB66" i="3"/>
  <c r="AD105" i="3"/>
  <c r="AB105" i="3"/>
  <c r="AD90" i="3"/>
  <c r="AB90" i="3"/>
  <c r="AD72" i="3"/>
  <c r="AB72" i="3"/>
  <c r="AD50" i="3"/>
  <c r="AB50" i="3"/>
  <c r="AD17" i="3"/>
  <c r="AB17" i="3"/>
  <c r="AD62" i="3"/>
  <c r="AB62" i="3"/>
  <c r="AD107" i="3"/>
  <c r="AB107" i="3"/>
  <c r="AD119" i="3"/>
  <c r="AB119" i="3"/>
  <c r="AD83" i="3"/>
  <c r="AB83" i="3"/>
  <c r="AD122" i="3"/>
  <c r="AB122" i="3"/>
  <c r="AD45" i="3"/>
  <c r="AB45" i="3"/>
  <c r="AD64" i="3"/>
  <c r="AB64" i="3"/>
  <c r="AD92" i="3"/>
  <c r="AB92" i="3"/>
  <c r="AD97" i="3"/>
  <c r="AB97" i="3"/>
  <c r="AD35" i="3"/>
  <c r="AB35" i="3"/>
  <c r="AD112" i="3"/>
  <c r="AB112" i="3"/>
  <c r="AD16" i="3"/>
  <c r="AB16" i="3"/>
  <c r="AD32" i="3"/>
  <c r="AB32" i="3"/>
  <c r="AD49" i="3"/>
  <c r="AB49" i="3"/>
  <c r="AD41" i="3"/>
  <c r="AB41" i="3"/>
  <c r="AD37" i="3"/>
  <c r="AB37" i="3"/>
  <c r="AD117" i="3"/>
  <c r="AB117" i="3"/>
  <c r="AD58" i="3"/>
  <c r="AB58" i="3"/>
  <c r="AD33" i="3"/>
  <c r="AB33" i="3"/>
  <c r="AD19" i="3"/>
  <c r="AB19" i="3"/>
  <c r="AD54" i="3"/>
  <c r="AB54" i="3"/>
  <c r="AD100" i="3"/>
  <c r="AB100" i="3"/>
  <c r="AD88" i="3"/>
  <c r="AB88" i="3"/>
  <c r="AD12" i="3"/>
  <c r="AB12" i="3"/>
  <c r="AD8" i="3"/>
  <c r="AB8" i="3"/>
  <c r="AD80" i="3"/>
  <c r="AB80" i="3"/>
  <c r="AD73" i="3"/>
  <c r="AB73" i="3"/>
  <c r="AD40" i="3"/>
  <c r="AB40" i="3"/>
  <c r="AD69" i="3"/>
  <c r="AB69" i="3"/>
  <c r="AD61" i="3"/>
  <c r="AB61" i="3"/>
  <c r="AD21" i="3"/>
  <c r="AB21" i="3"/>
  <c r="AD52" i="3"/>
  <c r="AB52" i="3"/>
  <c r="AD91" i="3"/>
  <c r="AB91" i="3"/>
  <c r="AD103" i="3"/>
  <c r="AB103" i="3"/>
  <c r="AD118" i="3"/>
  <c r="AB118" i="3"/>
  <c r="AD70" i="3"/>
  <c r="AB70" i="3"/>
  <c r="AD104" i="3"/>
  <c r="AB104" i="3"/>
  <c r="AD125" i="3"/>
  <c r="AB125" i="3"/>
  <c r="AD63" i="3"/>
  <c r="AB63" i="3"/>
  <c r="AD116" i="3"/>
  <c r="AB116" i="3"/>
  <c r="AD56" i="3"/>
  <c r="AB56" i="3"/>
  <c r="AD93" i="3"/>
  <c r="AB93" i="3"/>
  <c r="AD10" i="3"/>
  <c r="AB10" i="3"/>
  <c r="AD71" i="3"/>
  <c r="AB71" i="3"/>
  <c r="AD44" i="3"/>
  <c r="AB44" i="3"/>
  <c r="AD78" i="3"/>
  <c r="AB78" i="3"/>
  <c r="AD38" i="3"/>
  <c r="AB38" i="3"/>
  <c r="AD96" i="3"/>
  <c r="AB96" i="3"/>
  <c r="AD67" i="3"/>
  <c r="AB67" i="3"/>
  <c r="AD28" i="3"/>
  <c r="AB28" i="3"/>
  <c r="AD121" i="3"/>
  <c r="AB121" i="3"/>
  <c r="AD101" i="3"/>
  <c r="AB101" i="3"/>
  <c r="AD75" i="3"/>
  <c r="AB75" i="3"/>
  <c r="AD111" i="3"/>
  <c r="AB111" i="3"/>
  <c r="AD94" i="3"/>
  <c r="AB94" i="3"/>
  <c r="AD87" i="3"/>
  <c r="AB87" i="3"/>
  <c r="AD53" i="3"/>
  <c r="AB53" i="3"/>
  <c r="AD47" i="3"/>
  <c r="AB47" i="3"/>
  <c r="AD114" i="3"/>
  <c r="AB114" i="3"/>
  <c r="AD102" i="3"/>
  <c r="AB102" i="3"/>
  <c r="AD55" i="3"/>
  <c r="AB55" i="3"/>
  <c r="AD31" i="3"/>
  <c r="AB31" i="3"/>
  <c r="AD65" i="3"/>
  <c r="AB65" i="3"/>
  <c r="AD23" i="3"/>
  <c r="AB23" i="3"/>
  <c r="AD51" i="3"/>
  <c r="AB51" i="3"/>
  <c r="AD99" i="3"/>
  <c r="AB99" i="3"/>
  <c r="AD98" i="3"/>
  <c r="AB98" i="3"/>
  <c r="AD120" i="3"/>
  <c r="AB120" i="3"/>
  <c r="AD24" i="3"/>
  <c r="AB24" i="3"/>
  <c r="AD57" i="3"/>
  <c r="AB57" i="3"/>
  <c r="AD15" i="3"/>
  <c r="AB15" i="3"/>
  <c r="AD81" i="3"/>
  <c r="AB81" i="3"/>
  <c r="C44" i="10" l="1"/>
  <c r="C92" i="6"/>
  <c r="C74" i="9"/>
  <c r="C88" i="9" l="1"/>
  <c r="C114" i="5"/>
  <c r="C117" i="4"/>
  <c r="C77" i="6"/>
  <c r="C15" i="6"/>
  <c r="C60" i="9"/>
  <c r="C45" i="6"/>
  <c r="C41" i="9"/>
  <c r="H186" i="11" l="1"/>
  <c r="G186" i="11"/>
  <c r="I186" i="11" s="1"/>
  <c r="N186" i="11" s="1"/>
  <c r="H185" i="11"/>
  <c r="G185" i="11"/>
  <c r="I185" i="11" s="1"/>
  <c r="N185" i="11" s="1"/>
  <c r="H184" i="11"/>
  <c r="G184" i="11"/>
  <c r="I184" i="11" s="1"/>
  <c r="N184" i="11" s="1"/>
  <c r="H183" i="11"/>
  <c r="G183" i="11"/>
  <c r="I183" i="11" s="1"/>
  <c r="N183" i="11" s="1"/>
  <c r="H182" i="11"/>
  <c r="G182" i="11"/>
  <c r="I182" i="11" s="1"/>
  <c r="N182" i="11" s="1"/>
  <c r="H181" i="11"/>
  <c r="G181" i="11"/>
  <c r="I181" i="11" s="1"/>
  <c r="N181" i="11" s="1"/>
  <c r="H180" i="11"/>
  <c r="G180" i="11"/>
  <c r="I180" i="11" s="1"/>
  <c r="N180" i="11" s="1"/>
  <c r="H179" i="11"/>
  <c r="G179" i="11"/>
  <c r="I179" i="11" s="1"/>
  <c r="N179" i="11" s="1"/>
  <c r="H178" i="11"/>
  <c r="G178" i="11"/>
  <c r="I178" i="11" s="1"/>
  <c r="N178" i="11" s="1"/>
  <c r="H177" i="11"/>
  <c r="G177" i="11"/>
  <c r="I177" i="11" s="1"/>
  <c r="N177" i="11" s="1"/>
  <c r="H176" i="11"/>
  <c r="G176" i="11"/>
  <c r="I176" i="11" s="1"/>
  <c r="N176" i="11" s="1"/>
  <c r="H175" i="11"/>
  <c r="G175" i="11"/>
  <c r="I175" i="11" s="1"/>
  <c r="N175" i="11" s="1"/>
  <c r="H174" i="11"/>
  <c r="G174" i="11"/>
  <c r="I174" i="11" s="1"/>
  <c r="N174" i="11" s="1"/>
  <c r="H173" i="11"/>
  <c r="G173" i="11"/>
  <c r="I173" i="11" s="1"/>
  <c r="N173" i="11" s="1"/>
  <c r="H172" i="11"/>
  <c r="G172" i="11"/>
  <c r="I172" i="11" s="1"/>
  <c r="N172" i="11" s="1"/>
  <c r="H171" i="11"/>
  <c r="G171" i="11"/>
  <c r="I171" i="11" s="1"/>
  <c r="N171" i="11" s="1"/>
  <c r="H162" i="11"/>
  <c r="G162" i="11"/>
  <c r="I162" i="11" s="1"/>
  <c r="N162" i="11" s="1"/>
  <c r="H161" i="11"/>
  <c r="G161" i="11"/>
  <c r="I161" i="11" s="1"/>
  <c r="N161" i="11" s="1"/>
  <c r="H160" i="11"/>
  <c r="G160" i="11"/>
  <c r="I160" i="11" s="1"/>
  <c r="N160" i="11" s="1"/>
  <c r="H159" i="11"/>
  <c r="G159" i="11"/>
  <c r="I159" i="11" s="1"/>
  <c r="N159" i="11" s="1"/>
  <c r="H158" i="11"/>
  <c r="G158" i="11"/>
  <c r="I158" i="11" s="1"/>
  <c r="N158" i="11" s="1"/>
  <c r="H157" i="11"/>
  <c r="G157" i="11"/>
  <c r="I157" i="11" s="1"/>
  <c r="N157" i="11" s="1"/>
  <c r="H156" i="11"/>
  <c r="G156" i="11"/>
  <c r="I156" i="11" s="1"/>
  <c r="N156" i="11" s="1"/>
  <c r="H155" i="11"/>
  <c r="G155" i="11"/>
  <c r="I155" i="11" s="1"/>
  <c r="N155" i="11" s="1"/>
  <c r="H154" i="11"/>
  <c r="G154" i="11"/>
  <c r="I154" i="11" s="1"/>
  <c r="N154" i="11" s="1"/>
  <c r="H153" i="11"/>
  <c r="G153" i="11"/>
  <c r="I153" i="11" s="1"/>
  <c r="N153" i="11" s="1"/>
  <c r="H152" i="11"/>
  <c r="G152" i="11"/>
  <c r="I152" i="11" s="1"/>
  <c r="N152" i="11" s="1"/>
  <c r="H151" i="11"/>
  <c r="G151" i="11"/>
  <c r="I151" i="11" s="1"/>
  <c r="N151" i="11" s="1"/>
  <c r="H150" i="11"/>
  <c r="G150" i="11"/>
  <c r="I150" i="11" s="1"/>
  <c r="N150" i="11" s="1"/>
  <c r="H149" i="11"/>
  <c r="G149" i="11"/>
  <c r="I149" i="11" s="1"/>
  <c r="N149" i="11" s="1"/>
  <c r="H148" i="11"/>
  <c r="G148" i="11"/>
  <c r="I148" i="11" s="1"/>
  <c r="N148" i="11" s="1"/>
  <c r="H147" i="11"/>
  <c r="G147" i="11"/>
  <c r="I147" i="11" s="1"/>
  <c r="N147" i="11" s="1"/>
  <c r="H139" i="11"/>
  <c r="G139" i="11"/>
  <c r="I139" i="11" s="1"/>
  <c r="N139" i="11" s="1"/>
  <c r="H138" i="11"/>
  <c r="G138" i="11"/>
  <c r="I138" i="11" s="1"/>
  <c r="N138" i="11" s="1"/>
  <c r="H137" i="11"/>
  <c r="G137" i="11"/>
  <c r="I137" i="11" s="1"/>
  <c r="N137" i="11" s="1"/>
  <c r="H136" i="11"/>
  <c r="G136" i="11"/>
  <c r="I136" i="11" s="1"/>
  <c r="N136" i="11" s="1"/>
  <c r="H135" i="11"/>
  <c r="G135" i="11"/>
  <c r="I135" i="11" s="1"/>
  <c r="N135" i="11" s="1"/>
  <c r="H134" i="11"/>
  <c r="G134" i="11"/>
  <c r="I134" i="11" s="1"/>
  <c r="N134" i="11" s="1"/>
  <c r="H133" i="11"/>
  <c r="G133" i="11"/>
  <c r="I133" i="11" s="1"/>
  <c r="N133" i="11" s="1"/>
  <c r="H132" i="11"/>
  <c r="G132" i="11"/>
  <c r="I132" i="11" s="1"/>
  <c r="N132" i="11" s="1"/>
  <c r="H131" i="11"/>
  <c r="G131" i="11"/>
  <c r="I131" i="11" s="1"/>
  <c r="N131" i="11" s="1"/>
  <c r="H130" i="11"/>
  <c r="G130" i="11"/>
  <c r="I130" i="11" s="1"/>
  <c r="N130" i="11" s="1"/>
  <c r="H129" i="11"/>
  <c r="G129" i="11"/>
  <c r="I129" i="11" s="1"/>
  <c r="N129" i="11" s="1"/>
  <c r="H128" i="11"/>
  <c r="G128" i="11"/>
  <c r="I128" i="11" s="1"/>
  <c r="N128" i="11" s="1"/>
  <c r="H127" i="11"/>
  <c r="G127" i="11"/>
  <c r="I127" i="11" s="1"/>
  <c r="N127" i="11" s="1"/>
  <c r="H126" i="11"/>
  <c r="G126" i="11"/>
  <c r="I126" i="11" s="1"/>
  <c r="N126" i="11" s="1"/>
  <c r="H125" i="11"/>
  <c r="G125" i="11"/>
  <c r="I125" i="11" s="1"/>
  <c r="N125" i="11" s="1"/>
  <c r="H124" i="11"/>
  <c r="G124" i="11"/>
  <c r="I124" i="11" s="1"/>
  <c r="N124" i="11" s="1"/>
  <c r="H115" i="11"/>
  <c r="G115" i="11"/>
  <c r="I115" i="11" s="1"/>
  <c r="N115" i="11" s="1"/>
  <c r="H114" i="11"/>
  <c r="G114" i="11"/>
  <c r="I114" i="11" s="1"/>
  <c r="N114" i="11" s="1"/>
  <c r="H113" i="11"/>
  <c r="G113" i="11"/>
  <c r="I113" i="11" s="1"/>
  <c r="N113" i="11" s="1"/>
  <c r="H112" i="11"/>
  <c r="G112" i="11"/>
  <c r="I112" i="11" s="1"/>
  <c r="N112" i="11" s="1"/>
  <c r="H111" i="11"/>
  <c r="G111" i="11"/>
  <c r="I111" i="11" s="1"/>
  <c r="N111" i="11" s="1"/>
  <c r="H110" i="11"/>
  <c r="G110" i="11"/>
  <c r="I110" i="11" s="1"/>
  <c r="N110" i="11" s="1"/>
  <c r="H109" i="11"/>
  <c r="G109" i="11"/>
  <c r="I109" i="11" s="1"/>
  <c r="N109" i="11" s="1"/>
  <c r="H108" i="11"/>
  <c r="G108" i="11"/>
  <c r="I108" i="11" s="1"/>
  <c r="N108" i="11" s="1"/>
  <c r="H107" i="11"/>
  <c r="G107" i="11"/>
  <c r="I107" i="11" s="1"/>
  <c r="N107" i="11" s="1"/>
  <c r="H106" i="11"/>
  <c r="G106" i="11"/>
  <c r="I106" i="11" s="1"/>
  <c r="N106" i="11" s="1"/>
  <c r="H105" i="11"/>
  <c r="G105" i="11"/>
  <c r="I105" i="11" s="1"/>
  <c r="N105" i="11" s="1"/>
  <c r="H104" i="11"/>
  <c r="G104" i="11"/>
  <c r="I104" i="11" s="1"/>
  <c r="N104" i="11" s="1"/>
  <c r="H103" i="11"/>
  <c r="G103" i="11"/>
  <c r="I103" i="11" s="1"/>
  <c r="N103" i="11" s="1"/>
  <c r="H102" i="11"/>
  <c r="G102" i="11"/>
  <c r="I102" i="11" s="1"/>
  <c r="N102" i="11" s="1"/>
  <c r="H101" i="11"/>
  <c r="G101" i="11"/>
  <c r="I101" i="11" s="1"/>
  <c r="N101" i="11" s="1"/>
  <c r="H100" i="11"/>
  <c r="G100" i="11"/>
  <c r="I100" i="11" s="1"/>
  <c r="N100" i="11" s="1"/>
  <c r="H92" i="11"/>
  <c r="G92" i="11"/>
  <c r="I92" i="11" s="1"/>
  <c r="N92" i="11" s="1"/>
  <c r="H91" i="11"/>
  <c r="G91" i="11"/>
  <c r="I91" i="11" s="1"/>
  <c r="N91" i="11" s="1"/>
  <c r="H90" i="11"/>
  <c r="G90" i="11"/>
  <c r="I90" i="11" s="1"/>
  <c r="N90" i="11" s="1"/>
  <c r="H89" i="11"/>
  <c r="G89" i="11"/>
  <c r="I89" i="11" s="1"/>
  <c r="N89" i="11" s="1"/>
  <c r="H88" i="11"/>
  <c r="G88" i="11"/>
  <c r="I88" i="11" s="1"/>
  <c r="N88" i="11" s="1"/>
  <c r="H87" i="11"/>
  <c r="G87" i="11"/>
  <c r="I87" i="11" s="1"/>
  <c r="N87" i="11" s="1"/>
  <c r="H86" i="11"/>
  <c r="G86" i="11"/>
  <c r="I86" i="11" s="1"/>
  <c r="N86" i="11" s="1"/>
  <c r="H85" i="11"/>
  <c r="G85" i="11"/>
  <c r="I85" i="11" s="1"/>
  <c r="N85" i="11" s="1"/>
  <c r="H84" i="11"/>
  <c r="G84" i="11"/>
  <c r="I84" i="11" s="1"/>
  <c r="N84" i="11" s="1"/>
  <c r="H83" i="11"/>
  <c r="G83" i="11"/>
  <c r="I83" i="11" s="1"/>
  <c r="N83" i="11" s="1"/>
  <c r="H82" i="11"/>
  <c r="G82" i="11"/>
  <c r="I82" i="11" s="1"/>
  <c r="N82" i="11" s="1"/>
  <c r="H81" i="11"/>
  <c r="G81" i="11"/>
  <c r="I81" i="11" s="1"/>
  <c r="N81" i="11" s="1"/>
  <c r="H80" i="11"/>
  <c r="G80" i="11"/>
  <c r="I80" i="11" s="1"/>
  <c r="N80" i="11" s="1"/>
  <c r="H79" i="11"/>
  <c r="G79" i="11"/>
  <c r="I79" i="11" s="1"/>
  <c r="N79" i="11" s="1"/>
  <c r="H78" i="11"/>
  <c r="G78" i="11"/>
  <c r="I78" i="11" s="1"/>
  <c r="N78" i="11" s="1"/>
  <c r="H77" i="11"/>
  <c r="G77" i="11"/>
  <c r="I77" i="11" s="1"/>
  <c r="N77" i="11" s="1"/>
  <c r="H68" i="11"/>
  <c r="G68" i="11"/>
  <c r="I68" i="11" s="1"/>
  <c r="N68" i="11" s="1"/>
  <c r="H67" i="11"/>
  <c r="G67" i="11"/>
  <c r="I67" i="11" s="1"/>
  <c r="N67" i="11" s="1"/>
  <c r="H66" i="11"/>
  <c r="G66" i="11"/>
  <c r="I66" i="11" s="1"/>
  <c r="N66" i="11" s="1"/>
  <c r="H65" i="11"/>
  <c r="G65" i="11"/>
  <c r="I65" i="11" s="1"/>
  <c r="N65" i="11" s="1"/>
  <c r="H64" i="11"/>
  <c r="G64" i="11"/>
  <c r="I64" i="11" s="1"/>
  <c r="N64" i="11" s="1"/>
  <c r="H63" i="11"/>
  <c r="G63" i="11"/>
  <c r="I63" i="11" s="1"/>
  <c r="N63" i="11" s="1"/>
  <c r="H62" i="11"/>
  <c r="G62" i="11"/>
  <c r="I62" i="11" s="1"/>
  <c r="N62" i="11" s="1"/>
  <c r="H61" i="11"/>
  <c r="G61" i="11"/>
  <c r="I61" i="11" s="1"/>
  <c r="N61" i="11" s="1"/>
  <c r="H60" i="11"/>
  <c r="G60" i="11"/>
  <c r="I60" i="11" s="1"/>
  <c r="N60" i="11" s="1"/>
  <c r="H59" i="11"/>
  <c r="G59" i="11"/>
  <c r="I59" i="11" s="1"/>
  <c r="N59" i="11" s="1"/>
  <c r="H58" i="11"/>
  <c r="G58" i="11"/>
  <c r="I58" i="11" s="1"/>
  <c r="N58" i="11" s="1"/>
  <c r="H57" i="11"/>
  <c r="G57" i="11"/>
  <c r="I57" i="11" s="1"/>
  <c r="N57" i="11" s="1"/>
  <c r="H56" i="11"/>
  <c r="G56" i="11"/>
  <c r="I56" i="11" s="1"/>
  <c r="N56" i="11" s="1"/>
  <c r="H55" i="11"/>
  <c r="G55" i="11"/>
  <c r="I55" i="11" s="1"/>
  <c r="N55" i="11" s="1"/>
  <c r="H54" i="11"/>
  <c r="G54" i="11"/>
  <c r="I54" i="11" s="1"/>
  <c r="N54" i="11" s="1"/>
  <c r="H53" i="11"/>
  <c r="G53" i="11"/>
  <c r="I53" i="11" s="1"/>
  <c r="N53" i="11" s="1"/>
  <c r="H45" i="11"/>
  <c r="G45" i="11"/>
  <c r="I45" i="11" s="1"/>
  <c r="N45" i="11" s="1"/>
  <c r="H44" i="11"/>
  <c r="G44" i="11"/>
  <c r="I44" i="11" s="1"/>
  <c r="N44" i="11" s="1"/>
  <c r="H43" i="11"/>
  <c r="G43" i="11"/>
  <c r="I43" i="11" s="1"/>
  <c r="N43" i="11" s="1"/>
  <c r="H42" i="11"/>
  <c r="G42" i="11"/>
  <c r="I42" i="11" s="1"/>
  <c r="N42" i="11" s="1"/>
  <c r="H41" i="11"/>
  <c r="G41" i="11"/>
  <c r="I41" i="11" s="1"/>
  <c r="N41" i="11" s="1"/>
  <c r="H40" i="11"/>
  <c r="G40" i="11"/>
  <c r="I40" i="11" s="1"/>
  <c r="N40" i="11" s="1"/>
  <c r="H39" i="11"/>
  <c r="G39" i="11"/>
  <c r="I39" i="11" s="1"/>
  <c r="N39" i="11" s="1"/>
  <c r="H38" i="11"/>
  <c r="G38" i="11"/>
  <c r="I38" i="11" s="1"/>
  <c r="N38" i="11" s="1"/>
  <c r="H37" i="11"/>
  <c r="G37" i="11"/>
  <c r="I37" i="11" s="1"/>
  <c r="N37" i="11" s="1"/>
  <c r="H36" i="11"/>
  <c r="G36" i="11"/>
  <c r="I36" i="11" s="1"/>
  <c r="N36" i="11" s="1"/>
  <c r="H35" i="11"/>
  <c r="G35" i="11"/>
  <c r="I35" i="11" s="1"/>
  <c r="N35" i="11" s="1"/>
  <c r="H34" i="11"/>
  <c r="G34" i="11"/>
  <c r="I34" i="11" s="1"/>
  <c r="N34" i="11" s="1"/>
  <c r="H33" i="11"/>
  <c r="G33" i="11"/>
  <c r="I33" i="11" s="1"/>
  <c r="N33" i="11" s="1"/>
  <c r="H32" i="11"/>
  <c r="G32" i="11"/>
  <c r="I32" i="11" s="1"/>
  <c r="N32" i="11" s="1"/>
  <c r="H31" i="11"/>
  <c r="G31" i="11"/>
  <c r="I31" i="11" s="1"/>
  <c r="N31" i="11" s="1"/>
  <c r="H30" i="11"/>
  <c r="G30" i="11"/>
  <c r="I30" i="11" s="1"/>
  <c r="N30" i="11" s="1"/>
  <c r="G14" i="11"/>
  <c r="I14" i="11" s="1"/>
  <c r="N14" i="11" s="1"/>
  <c r="H14" i="11"/>
  <c r="G15" i="11"/>
  <c r="H15" i="11"/>
  <c r="I15" i="11"/>
  <c r="N15" i="11" s="1"/>
  <c r="G16" i="11"/>
  <c r="I16" i="11" s="1"/>
  <c r="N16" i="11" s="1"/>
  <c r="H16" i="11"/>
  <c r="G17" i="11"/>
  <c r="I17" i="11" s="1"/>
  <c r="N17" i="11" s="1"/>
  <c r="H17" i="11"/>
  <c r="G18" i="11"/>
  <c r="H18" i="11"/>
  <c r="I18" i="11"/>
  <c r="N18" i="11" s="1"/>
  <c r="G19" i="11"/>
  <c r="I19" i="11" s="1"/>
  <c r="N19" i="11" s="1"/>
  <c r="H19" i="11"/>
  <c r="G20" i="11"/>
  <c r="H20" i="11"/>
  <c r="I20" i="11"/>
  <c r="N20" i="11" s="1"/>
  <c r="G21" i="11"/>
  <c r="H21" i="11"/>
  <c r="I21" i="11"/>
  <c r="N21" i="11" s="1"/>
  <c r="H13" i="11"/>
  <c r="G13" i="11"/>
  <c r="I13" i="11" s="1"/>
  <c r="N13" i="11" s="1"/>
  <c r="H12" i="11"/>
  <c r="G12" i="11"/>
  <c r="I12" i="11" s="1"/>
  <c r="N12" i="11" s="1"/>
  <c r="H11" i="11"/>
  <c r="G11" i="11"/>
  <c r="I11" i="11" s="1"/>
  <c r="N11" i="11" s="1"/>
  <c r="H10" i="11"/>
  <c r="G10" i="11"/>
  <c r="I10" i="11" s="1"/>
  <c r="N10" i="11" s="1"/>
  <c r="H9" i="11"/>
  <c r="G9" i="11"/>
  <c r="I9" i="11" s="1"/>
  <c r="N9" i="11" s="1"/>
  <c r="H8" i="11"/>
  <c r="G8" i="11"/>
  <c r="I8" i="11" s="1"/>
  <c r="N8" i="11" s="1"/>
  <c r="H7" i="11"/>
  <c r="G7" i="11"/>
  <c r="I7" i="11" s="1"/>
  <c r="N7" i="11" s="1"/>
  <c r="H6" i="11"/>
  <c r="G6" i="11"/>
  <c r="I6" i="11" s="1"/>
  <c r="N6" i="11" s="1"/>
  <c r="H106" i="10"/>
  <c r="G106" i="10"/>
  <c r="I106" i="10" s="1"/>
  <c r="N106" i="10" s="1"/>
  <c r="H105" i="10"/>
  <c r="G105" i="10"/>
  <c r="I105" i="10" s="1"/>
  <c r="N105" i="10" s="1"/>
  <c r="H104" i="10"/>
  <c r="G104" i="10"/>
  <c r="I104" i="10" s="1"/>
  <c r="N104" i="10" s="1"/>
  <c r="H103" i="10"/>
  <c r="G103" i="10"/>
  <c r="I103" i="10" s="1"/>
  <c r="N103" i="10" s="1"/>
  <c r="H102" i="10"/>
  <c r="G102" i="10"/>
  <c r="I102" i="10" s="1"/>
  <c r="N102" i="10" s="1"/>
  <c r="H101" i="10"/>
  <c r="G101" i="10"/>
  <c r="I101" i="10" s="1"/>
  <c r="N101" i="10" s="1"/>
  <c r="H100" i="10"/>
  <c r="G100" i="10"/>
  <c r="I100" i="10" s="1"/>
  <c r="N100" i="10" s="1"/>
  <c r="H89" i="10"/>
  <c r="G89" i="10"/>
  <c r="I89" i="10" s="1"/>
  <c r="N89" i="10" s="1"/>
  <c r="H88" i="10"/>
  <c r="G88" i="10"/>
  <c r="I88" i="10" s="1"/>
  <c r="N88" i="10" s="1"/>
  <c r="H87" i="10"/>
  <c r="G87" i="10"/>
  <c r="I87" i="10" s="1"/>
  <c r="N87" i="10" s="1"/>
  <c r="H86" i="10"/>
  <c r="G86" i="10"/>
  <c r="I86" i="10" s="1"/>
  <c r="N86" i="10" s="1"/>
  <c r="H85" i="10"/>
  <c r="G85" i="10"/>
  <c r="I85" i="10" s="1"/>
  <c r="N85" i="10" s="1"/>
  <c r="H84" i="10"/>
  <c r="G84" i="10"/>
  <c r="I84" i="10" s="1"/>
  <c r="N84" i="10" s="1"/>
  <c r="H83" i="10"/>
  <c r="G83" i="10"/>
  <c r="I83" i="10" s="1"/>
  <c r="N83" i="10" s="1"/>
  <c r="H74" i="10"/>
  <c r="G74" i="10"/>
  <c r="I74" i="10" s="1"/>
  <c r="N74" i="10" s="1"/>
  <c r="H73" i="10"/>
  <c r="G73" i="10"/>
  <c r="I73" i="10" s="1"/>
  <c r="N73" i="10" s="1"/>
  <c r="H72" i="10"/>
  <c r="G72" i="10"/>
  <c r="I72" i="10" s="1"/>
  <c r="N72" i="10" s="1"/>
  <c r="H71" i="10"/>
  <c r="G71" i="10"/>
  <c r="I71" i="10" s="1"/>
  <c r="N71" i="10" s="1"/>
  <c r="H70" i="10"/>
  <c r="G70" i="10"/>
  <c r="I70" i="10" s="1"/>
  <c r="N70" i="10" s="1"/>
  <c r="H69" i="10"/>
  <c r="G69" i="10"/>
  <c r="I69" i="10" s="1"/>
  <c r="N69" i="10" s="1"/>
  <c r="H68" i="10"/>
  <c r="G68" i="10"/>
  <c r="I68" i="10" s="1"/>
  <c r="N68" i="10" s="1"/>
  <c r="H59" i="10"/>
  <c r="G59" i="10"/>
  <c r="I59" i="10" s="1"/>
  <c r="N59" i="10" s="1"/>
  <c r="H58" i="10"/>
  <c r="G58" i="10"/>
  <c r="I58" i="10" s="1"/>
  <c r="N58" i="10" s="1"/>
  <c r="H57" i="10"/>
  <c r="G57" i="10"/>
  <c r="I57" i="10" s="1"/>
  <c r="N57" i="10" s="1"/>
  <c r="H56" i="10"/>
  <c r="G56" i="10"/>
  <c r="I56" i="10" s="1"/>
  <c r="N56" i="10" s="1"/>
  <c r="H55" i="10"/>
  <c r="G55" i="10"/>
  <c r="I55" i="10" s="1"/>
  <c r="N55" i="10" s="1"/>
  <c r="H54" i="10"/>
  <c r="G54" i="10"/>
  <c r="I54" i="10" s="1"/>
  <c r="N54" i="10" s="1"/>
  <c r="H53" i="10"/>
  <c r="G53" i="10"/>
  <c r="I53" i="10" s="1"/>
  <c r="N53" i="10" s="1"/>
  <c r="H42" i="10"/>
  <c r="G42" i="10"/>
  <c r="I42" i="10" s="1"/>
  <c r="N42" i="10" s="1"/>
  <c r="H41" i="10"/>
  <c r="G41" i="10"/>
  <c r="I41" i="10" s="1"/>
  <c r="N41" i="10" s="1"/>
  <c r="H40" i="10"/>
  <c r="G40" i="10"/>
  <c r="I40" i="10" s="1"/>
  <c r="N40" i="10" s="1"/>
  <c r="H39" i="10"/>
  <c r="G39" i="10"/>
  <c r="I39" i="10" s="1"/>
  <c r="N39" i="10" s="1"/>
  <c r="H38" i="10"/>
  <c r="G38" i="10"/>
  <c r="I38" i="10" s="1"/>
  <c r="N38" i="10" s="1"/>
  <c r="H37" i="10"/>
  <c r="G37" i="10"/>
  <c r="I37" i="10" s="1"/>
  <c r="N37" i="10" s="1"/>
  <c r="H36" i="10"/>
  <c r="G36" i="10"/>
  <c r="I36" i="10" s="1"/>
  <c r="N36" i="10" s="1"/>
  <c r="H27" i="10"/>
  <c r="G27" i="10"/>
  <c r="I27" i="10" s="1"/>
  <c r="N27" i="10" s="1"/>
  <c r="H26" i="10"/>
  <c r="G26" i="10"/>
  <c r="I26" i="10" s="1"/>
  <c r="N26" i="10" s="1"/>
  <c r="H25" i="10"/>
  <c r="G25" i="10"/>
  <c r="I25" i="10" s="1"/>
  <c r="N25" i="10" s="1"/>
  <c r="H24" i="10"/>
  <c r="G24" i="10"/>
  <c r="I24" i="10" s="1"/>
  <c r="N24" i="10" s="1"/>
  <c r="H23" i="10"/>
  <c r="G23" i="10"/>
  <c r="I23" i="10" s="1"/>
  <c r="N23" i="10" s="1"/>
  <c r="H22" i="10"/>
  <c r="G22" i="10"/>
  <c r="I22" i="10" s="1"/>
  <c r="N22" i="10" s="1"/>
  <c r="H21" i="10"/>
  <c r="G21" i="10"/>
  <c r="I21" i="10" s="1"/>
  <c r="N21" i="10" s="1"/>
  <c r="H12" i="10"/>
  <c r="G12" i="10"/>
  <c r="I12" i="10" s="1"/>
  <c r="N12" i="10" s="1"/>
  <c r="H11" i="10"/>
  <c r="G11" i="10"/>
  <c r="I11" i="10" s="1"/>
  <c r="N11" i="10" s="1"/>
  <c r="H10" i="10"/>
  <c r="G10" i="10"/>
  <c r="I10" i="10" s="1"/>
  <c r="N10" i="10" s="1"/>
  <c r="H9" i="10"/>
  <c r="G9" i="10"/>
  <c r="I9" i="10" s="1"/>
  <c r="N9" i="10" s="1"/>
  <c r="H8" i="10"/>
  <c r="G8" i="10"/>
  <c r="I8" i="10" s="1"/>
  <c r="N8" i="10" s="1"/>
  <c r="H7" i="10"/>
  <c r="G7" i="10"/>
  <c r="I7" i="10" s="1"/>
  <c r="N7" i="10" s="1"/>
  <c r="H6" i="10"/>
  <c r="G6" i="10"/>
  <c r="I6" i="10" s="1"/>
  <c r="N6" i="10" s="1"/>
  <c r="H119" i="9"/>
  <c r="G119" i="9"/>
  <c r="I119" i="9" s="1"/>
  <c r="N119" i="9" s="1"/>
  <c r="H118" i="9"/>
  <c r="G118" i="9"/>
  <c r="I118" i="9" s="1"/>
  <c r="N118" i="9" s="1"/>
  <c r="H117" i="9"/>
  <c r="G117" i="9"/>
  <c r="I117" i="9" s="1"/>
  <c r="N117" i="9" s="1"/>
  <c r="H116" i="9"/>
  <c r="G116" i="9"/>
  <c r="I116" i="9" s="1"/>
  <c r="N116" i="9" s="1"/>
  <c r="H115" i="9"/>
  <c r="G115" i="9"/>
  <c r="I115" i="9" s="1"/>
  <c r="N115" i="9" s="1"/>
  <c r="H114" i="9"/>
  <c r="G114" i="9"/>
  <c r="I114" i="9" s="1"/>
  <c r="N114" i="9" s="1"/>
  <c r="H105" i="9"/>
  <c r="G105" i="9"/>
  <c r="I105" i="9" s="1"/>
  <c r="N105" i="9" s="1"/>
  <c r="H104" i="9"/>
  <c r="G104" i="9"/>
  <c r="I104" i="9" s="1"/>
  <c r="N104" i="9" s="1"/>
  <c r="H103" i="9"/>
  <c r="G103" i="9"/>
  <c r="I103" i="9" s="1"/>
  <c r="N103" i="9" s="1"/>
  <c r="H102" i="9"/>
  <c r="G102" i="9"/>
  <c r="I102" i="9" s="1"/>
  <c r="N102" i="9" s="1"/>
  <c r="H101" i="9"/>
  <c r="G101" i="9"/>
  <c r="I101" i="9" s="1"/>
  <c r="N101" i="9" s="1"/>
  <c r="H100" i="9"/>
  <c r="G100" i="9"/>
  <c r="I100" i="9" s="1"/>
  <c r="N100" i="9" s="1"/>
  <c r="H86" i="9"/>
  <c r="G86" i="9"/>
  <c r="I86" i="9" s="1"/>
  <c r="N86" i="9" s="1"/>
  <c r="H85" i="9"/>
  <c r="G85" i="9"/>
  <c r="I85" i="9" s="1"/>
  <c r="N85" i="9" s="1"/>
  <c r="H84" i="9"/>
  <c r="G84" i="9"/>
  <c r="I84" i="9" s="1"/>
  <c r="N84" i="9" s="1"/>
  <c r="H83" i="9"/>
  <c r="G83" i="9"/>
  <c r="I83" i="9" s="1"/>
  <c r="N83" i="9" s="1"/>
  <c r="H82" i="9"/>
  <c r="G82" i="9"/>
  <c r="I82" i="9" s="1"/>
  <c r="N82" i="9" s="1"/>
  <c r="H81" i="9"/>
  <c r="G81" i="9"/>
  <c r="I81" i="9" s="1"/>
  <c r="N81" i="9" s="1"/>
  <c r="H72" i="9"/>
  <c r="G72" i="9"/>
  <c r="I72" i="9" s="1"/>
  <c r="N72" i="9" s="1"/>
  <c r="H71" i="9"/>
  <c r="G71" i="9"/>
  <c r="I71" i="9" s="1"/>
  <c r="N71" i="9" s="1"/>
  <c r="H70" i="9"/>
  <c r="G70" i="9"/>
  <c r="I70" i="9" s="1"/>
  <c r="N70" i="9" s="1"/>
  <c r="H69" i="9"/>
  <c r="G69" i="9"/>
  <c r="I69" i="9" s="1"/>
  <c r="N69" i="9" s="1"/>
  <c r="H68" i="9"/>
  <c r="G68" i="9"/>
  <c r="I68" i="9" s="1"/>
  <c r="N68" i="9" s="1"/>
  <c r="H67" i="9"/>
  <c r="G67" i="9"/>
  <c r="I67" i="9" s="1"/>
  <c r="N67" i="9" s="1"/>
  <c r="H58" i="9"/>
  <c r="G58" i="9"/>
  <c r="I58" i="9" s="1"/>
  <c r="N58" i="9" s="1"/>
  <c r="H57" i="9"/>
  <c r="G57" i="9"/>
  <c r="I57" i="9" s="1"/>
  <c r="N57" i="9" s="1"/>
  <c r="H56" i="9"/>
  <c r="G56" i="9"/>
  <c r="I56" i="9" s="1"/>
  <c r="N56" i="9" s="1"/>
  <c r="H55" i="9"/>
  <c r="G55" i="9"/>
  <c r="I55" i="9" s="1"/>
  <c r="N55" i="9" s="1"/>
  <c r="H54" i="9"/>
  <c r="G54" i="9"/>
  <c r="I54" i="9" s="1"/>
  <c r="N54" i="9" s="1"/>
  <c r="H53" i="9"/>
  <c r="G53" i="9"/>
  <c r="I53" i="9" s="1"/>
  <c r="N53" i="9" s="1"/>
  <c r="H39" i="9"/>
  <c r="G39" i="9"/>
  <c r="I39" i="9" s="1"/>
  <c r="N39" i="9" s="1"/>
  <c r="H38" i="9"/>
  <c r="G38" i="9"/>
  <c r="I38" i="9" s="1"/>
  <c r="N38" i="9" s="1"/>
  <c r="H37" i="9"/>
  <c r="G37" i="9"/>
  <c r="I37" i="9" s="1"/>
  <c r="N37" i="9" s="1"/>
  <c r="H36" i="9"/>
  <c r="G36" i="9"/>
  <c r="I36" i="9" s="1"/>
  <c r="N36" i="9" s="1"/>
  <c r="H35" i="9"/>
  <c r="G35" i="9"/>
  <c r="I35" i="9" s="1"/>
  <c r="N35" i="9" s="1"/>
  <c r="H34" i="9"/>
  <c r="G34" i="9"/>
  <c r="I34" i="9" s="1"/>
  <c r="N34" i="9" s="1"/>
  <c r="H25" i="9"/>
  <c r="G25" i="9"/>
  <c r="I25" i="9" s="1"/>
  <c r="N25" i="9" s="1"/>
  <c r="H24" i="9"/>
  <c r="G24" i="9"/>
  <c r="I24" i="9" s="1"/>
  <c r="N24" i="9" s="1"/>
  <c r="H23" i="9"/>
  <c r="G23" i="9"/>
  <c r="I23" i="9" s="1"/>
  <c r="N23" i="9" s="1"/>
  <c r="H22" i="9"/>
  <c r="G22" i="9"/>
  <c r="I22" i="9" s="1"/>
  <c r="N22" i="9" s="1"/>
  <c r="H21" i="9"/>
  <c r="G21" i="9"/>
  <c r="I21" i="9" s="1"/>
  <c r="N21" i="9" s="1"/>
  <c r="H20" i="9"/>
  <c r="G20" i="9"/>
  <c r="I20" i="9" s="1"/>
  <c r="N20" i="9" s="1"/>
  <c r="H11" i="9"/>
  <c r="G11" i="9"/>
  <c r="I11" i="9" s="1"/>
  <c r="N11" i="9" s="1"/>
  <c r="H10" i="9"/>
  <c r="G10" i="9"/>
  <c r="I10" i="9" s="1"/>
  <c r="N10" i="9" s="1"/>
  <c r="H9" i="9"/>
  <c r="G9" i="9"/>
  <c r="I9" i="9" s="1"/>
  <c r="N9" i="9" s="1"/>
  <c r="H8" i="9"/>
  <c r="G8" i="9"/>
  <c r="I8" i="9" s="1"/>
  <c r="N8" i="9" s="1"/>
  <c r="H7" i="9"/>
  <c r="G7" i="9"/>
  <c r="I7" i="9" s="1"/>
  <c r="N7" i="9" s="1"/>
  <c r="H6" i="9"/>
  <c r="G6" i="9"/>
  <c r="I6" i="9" s="1"/>
  <c r="N6" i="9" s="1"/>
  <c r="H178" i="8"/>
  <c r="G178" i="8"/>
  <c r="I178" i="8" s="1"/>
  <c r="N178" i="8" s="1"/>
  <c r="H177" i="8"/>
  <c r="G177" i="8"/>
  <c r="I177" i="8" s="1"/>
  <c r="N177" i="8" s="1"/>
  <c r="H176" i="8"/>
  <c r="G176" i="8"/>
  <c r="I176" i="8" s="1"/>
  <c r="N176" i="8" s="1"/>
  <c r="H175" i="8"/>
  <c r="G175" i="8"/>
  <c r="I175" i="8" s="1"/>
  <c r="N175" i="8" s="1"/>
  <c r="H174" i="8"/>
  <c r="G174" i="8"/>
  <c r="I174" i="8" s="1"/>
  <c r="N174" i="8" s="1"/>
  <c r="H173" i="8"/>
  <c r="G173" i="8"/>
  <c r="I173" i="8" s="1"/>
  <c r="N173" i="8" s="1"/>
  <c r="H172" i="8"/>
  <c r="G172" i="8"/>
  <c r="I172" i="8" s="1"/>
  <c r="N172" i="8" s="1"/>
  <c r="H171" i="8"/>
  <c r="G171" i="8"/>
  <c r="I171" i="8" s="1"/>
  <c r="N171" i="8" s="1"/>
  <c r="H170" i="8"/>
  <c r="G170" i="8"/>
  <c r="I170" i="8" s="1"/>
  <c r="N170" i="8" s="1"/>
  <c r="H169" i="8"/>
  <c r="G169" i="8"/>
  <c r="I169" i="8" s="1"/>
  <c r="N169" i="8" s="1"/>
  <c r="H168" i="8"/>
  <c r="G168" i="8"/>
  <c r="I168" i="8" s="1"/>
  <c r="N168" i="8" s="1"/>
  <c r="H167" i="8"/>
  <c r="G167" i="8"/>
  <c r="I167" i="8" s="1"/>
  <c r="N167" i="8" s="1"/>
  <c r="H158" i="8"/>
  <c r="G158" i="8"/>
  <c r="I158" i="8" s="1"/>
  <c r="N158" i="8" s="1"/>
  <c r="H157" i="8"/>
  <c r="G157" i="8"/>
  <c r="I157" i="8" s="1"/>
  <c r="N157" i="8" s="1"/>
  <c r="H156" i="8"/>
  <c r="G156" i="8"/>
  <c r="I156" i="8" s="1"/>
  <c r="N156" i="8" s="1"/>
  <c r="H155" i="8"/>
  <c r="G155" i="8"/>
  <c r="I155" i="8" s="1"/>
  <c r="N155" i="8" s="1"/>
  <c r="H154" i="8"/>
  <c r="G154" i="8"/>
  <c r="I154" i="8" s="1"/>
  <c r="N154" i="8" s="1"/>
  <c r="H153" i="8"/>
  <c r="G153" i="8"/>
  <c r="I153" i="8" s="1"/>
  <c r="N153" i="8" s="1"/>
  <c r="H152" i="8"/>
  <c r="G152" i="8"/>
  <c r="I152" i="8" s="1"/>
  <c r="N152" i="8" s="1"/>
  <c r="H151" i="8"/>
  <c r="G151" i="8"/>
  <c r="I151" i="8" s="1"/>
  <c r="N151" i="8" s="1"/>
  <c r="H150" i="8"/>
  <c r="G150" i="8"/>
  <c r="I150" i="8" s="1"/>
  <c r="N150" i="8" s="1"/>
  <c r="H149" i="8"/>
  <c r="G149" i="8"/>
  <c r="I149" i="8" s="1"/>
  <c r="N149" i="8" s="1"/>
  <c r="H148" i="8"/>
  <c r="G148" i="8"/>
  <c r="I148" i="8" s="1"/>
  <c r="N148" i="8" s="1"/>
  <c r="H147" i="8"/>
  <c r="G147" i="8"/>
  <c r="I147" i="8" s="1"/>
  <c r="N147" i="8" s="1"/>
  <c r="H131" i="8"/>
  <c r="G131" i="8"/>
  <c r="I131" i="8" s="1"/>
  <c r="N131" i="8" s="1"/>
  <c r="H130" i="8"/>
  <c r="G130" i="8"/>
  <c r="I130" i="8" s="1"/>
  <c r="N130" i="8" s="1"/>
  <c r="H129" i="8"/>
  <c r="G129" i="8"/>
  <c r="I129" i="8" s="1"/>
  <c r="N129" i="8" s="1"/>
  <c r="H128" i="8"/>
  <c r="G128" i="8"/>
  <c r="I128" i="8" s="1"/>
  <c r="N128" i="8" s="1"/>
  <c r="H127" i="8"/>
  <c r="G127" i="8"/>
  <c r="I127" i="8" s="1"/>
  <c r="N127" i="8" s="1"/>
  <c r="H126" i="8"/>
  <c r="G126" i="8"/>
  <c r="I126" i="8" s="1"/>
  <c r="N126" i="8" s="1"/>
  <c r="H125" i="8"/>
  <c r="G125" i="8"/>
  <c r="I125" i="8" s="1"/>
  <c r="N125" i="8" s="1"/>
  <c r="H124" i="8"/>
  <c r="G124" i="8"/>
  <c r="I124" i="8" s="1"/>
  <c r="N124" i="8" s="1"/>
  <c r="H123" i="8"/>
  <c r="G123" i="8"/>
  <c r="I123" i="8" s="1"/>
  <c r="N123" i="8" s="1"/>
  <c r="H122" i="8"/>
  <c r="G122" i="8"/>
  <c r="I122" i="8" s="1"/>
  <c r="N122" i="8" s="1"/>
  <c r="H121" i="8"/>
  <c r="G121" i="8"/>
  <c r="I121" i="8" s="1"/>
  <c r="N121" i="8" s="1"/>
  <c r="H120" i="8"/>
  <c r="G120" i="8"/>
  <c r="I120" i="8" s="1"/>
  <c r="N120" i="8" s="1"/>
  <c r="H111" i="8"/>
  <c r="G111" i="8"/>
  <c r="I111" i="8" s="1"/>
  <c r="N111" i="8" s="1"/>
  <c r="H110" i="8"/>
  <c r="G110" i="8"/>
  <c r="I110" i="8" s="1"/>
  <c r="N110" i="8" s="1"/>
  <c r="H109" i="8"/>
  <c r="G109" i="8"/>
  <c r="I109" i="8" s="1"/>
  <c r="N109" i="8" s="1"/>
  <c r="H108" i="8"/>
  <c r="G108" i="8"/>
  <c r="I108" i="8" s="1"/>
  <c r="N108" i="8" s="1"/>
  <c r="H107" i="8"/>
  <c r="G107" i="8"/>
  <c r="I107" i="8" s="1"/>
  <c r="N107" i="8" s="1"/>
  <c r="H106" i="8"/>
  <c r="G106" i="8"/>
  <c r="I106" i="8" s="1"/>
  <c r="N106" i="8" s="1"/>
  <c r="H105" i="8"/>
  <c r="G105" i="8"/>
  <c r="I105" i="8" s="1"/>
  <c r="N105" i="8" s="1"/>
  <c r="H104" i="8"/>
  <c r="G104" i="8"/>
  <c r="I104" i="8" s="1"/>
  <c r="N104" i="8" s="1"/>
  <c r="H103" i="8"/>
  <c r="G103" i="8"/>
  <c r="I103" i="8" s="1"/>
  <c r="N103" i="8" s="1"/>
  <c r="H102" i="8"/>
  <c r="G102" i="8"/>
  <c r="I102" i="8" s="1"/>
  <c r="N102" i="8" s="1"/>
  <c r="H101" i="8"/>
  <c r="G101" i="8"/>
  <c r="I101" i="8" s="1"/>
  <c r="N101" i="8" s="1"/>
  <c r="H100" i="8"/>
  <c r="G100" i="8"/>
  <c r="I100" i="8" s="1"/>
  <c r="N100" i="8" s="1"/>
  <c r="H84" i="8"/>
  <c r="G84" i="8"/>
  <c r="I84" i="8" s="1"/>
  <c r="N84" i="8" s="1"/>
  <c r="H83" i="8"/>
  <c r="G83" i="8"/>
  <c r="I83" i="8" s="1"/>
  <c r="N83" i="8" s="1"/>
  <c r="H82" i="8"/>
  <c r="G82" i="8"/>
  <c r="I82" i="8" s="1"/>
  <c r="N82" i="8" s="1"/>
  <c r="H81" i="8"/>
  <c r="G81" i="8"/>
  <c r="I81" i="8" s="1"/>
  <c r="N81" i="8" s="1"/>
  <c r="H80" i="8"/>
  <c r="G80" i="8"/>
  <c r="I80" i="8" s="1"/>
  <c r="N80" i="8" s="1"/>
  <c r="H79" i="8"/>
  <c r="G79" i="8"/>
  <c r="I79" i="8" s="1"/>
  <c r="N79" i="8" s="1"/>
  <c r="H78" i="8"/>
  <c r="G78" i="8"/>
  <c r="I78" i="8" s="1"/>
  <c r="N78" i="8" s="1"/>
  <c r="H77" i="8"/>
  <c r="G77" i="8"/>
  <c r="I77" i="8" s="1"/>
  <c r="N77" i="8" s="1"/>
  <c r="H76" i="8"/>
  <c r="G76" i="8"/>
  <c r="I76" i="8" s="1"/>
  <c r="N76" i="8" s="1"/>
  <c r="H75" i="8"/>
  <c r="G75" i="8"/>
  <c r="I75" i="8" s="1"/>
  <c r="N75" i="8" s="1"/>
  <c r="H74" i="8"/>
  <c r="G74" i="8"/>
  <c r="I74" i="8" s="1"/>
  <c r="N74" i="8" s="1"/>
  <c r="H73" i="8"/>
  <c r="G73" i="8"/>
  <c r="I73" i="8" s="1"/>
  <c r="N73" i="8" s="1"/>
  <c r="H64" i="8"/>
  <c r="G64" i="8"/>
  <c r="I64" i="8" s="1"/>
  <c r="N64" i="8" s="1"/>
  <c r="H63" i="8"/>
  <c r="G63" i="8"/>
  <c r="I63" i="8" s="1"/>
  <c r="N63" i="8" s="1"/>
  <c r="H62" i="8"/>
  <c r="G62" i="8"/>
  <c r="I62" i="8" s="1"/>
  <c r="N62" i="8" s="1"/>
  <c r="H61" i="8"/>
  <c r="G61" i="8"/>
  <c r="I61" i="8" s="1"/>
  <c r="N61" i="8" s="1"/>
  <c r="H60" i="8"/>
  <c r="G60" i="8"/>
  <c r="I60" i="8" s="1"/>
  <c r="N60" i="8" s="1"/>
  <c r="H59" i="8"/>
  <c r="G59" i="8"/>
  <c r="I59" i="8" s="1"/>
  <c r="N59" i="8" s="1"/>
  <c r="H58" i="8"/>
  <c r="G58" i="8"/>
  <c r="I58" i="8" s="1"/>
  <c r="N58" i="8" s="1"/>
  <c r="H57" i="8"/>
  <c r="G57" i="8"/>
  <c r="I57" i="8" s="1"/>
  <c r="N57" i="8" s="1"/>
  <c r="H56" i="8"/>
  <c r="G56" i="8"/>
  <c r="I56" i="8" s="1"/>
  <c r="N56" i="8" s="1"/>
  <c r="H55" i="8"/>
  <c r="G55" i="8"/>
  <c r="I55" i="8" s="1"/>
  <c r="N55" i="8" s="1"/>
  <c r="H54" i="8"/>
  <c r="G54" i="8"/>
  <c r="I54" i="8" s="1"/>
  <c r="N54" i="8" s="1"/>
  <c r="H53" i="8"/>
  <c r="G53" i="8"/>
  <c r="I53" i="8" s="1"/>
  <c r="N53" i="8" s="1"/>
  <c r="H37" i="8"/>
  <c r="G37" i="8"/>
  <c r="I37" i="8" s="1"/>
  <c r="N37" i="8" s="1"/>
  <c r="H36" i="8"/>
  <c r="G36" i="8"/>
  <c r="I36" i="8" s="1"/>
  <c r="N36" i="8" s="1"/>
  <c r="H35" i="8"/>
  <c r="G35" i="8"/>
  <c r="I35" i="8" s="1"/>
  <c r="N35" i="8" s="1"/>
  <c r="H34" i="8"/>
  <c r="G34" i="8"/>
  <c r="I34" i="8" s="1"/>
  <c r="N34" i="8" s="1"/>
  <c r="H33" i="8"/>
  <c r="G33" i="8"/>
  <c r="I33" i="8" s="1"/>
  <c r="N33" i="8" s="1"/>
  <c r="H32" i="8"/>
  <c r="G32" i="8"/>
  <c r="I32" i="8" s="1"/>
  <c r="N32" i="8" s="1"/>
  <c r="H31" i="8"/>
  <c r="G31" i="8"/>
  <c r="I31" i="8" s="1"/>
  <c r="N31" i="8" s="1"/>
  <c r="H30" i="8"/>
  <c r="G30" i="8"/>
  <c r="I30" i="8" s="1"/>
  <c r="N30" i="8" s="1"/>
  <c r="H29" i="8"/>
  <c r="G29" i="8"/>
  <c r="I29" i="8" s="1"/>
  <c r="N29" i="8" s="1"/>
  <c r="H28" i="8"/>
  <c r="G28" i="8"/>
  <c r="I28" i="8" s="1"/>
  <c r="N28" i="8" s="1"/>
  <c r="H27" i="8"/>
  <c r="G27" i="8"/>
  <c r="I27" i="8" s="1"/>
  <c r="N27" i="8" s="1"/>
  <c r="H26" i="8"/>
  <c r="G26" i="8"/>
  <c r="I26" i="8" s="1"/>
  <c r="N26" i="8" s="1"/>
  <c r="G14" i="8"/>
  <c r="H14" i="8"/>
  <c r="I14" i="8"/>
  <c r="N14" i="8" s="1"/>
  <c r="G15" i="8"/>
  <c r="H15" i="8"/>
  <c r="I15" i="8"/>
  <c r="N15" i="8" s="1"/>
  <c r="G16" i="8"/>
  <c r="I16" i="8" s="1"/>
  <c r="N16" i="8" s="1"/>
  <c r="H16" i="8"/>
  <c r="G17" i="8"/>
  <c r="H17" i="8"/>
  <c r="I17" i="8"/>
  <c r="N17" i="8" s="1"/>
  <c r="H13" i="8"/>
  <c r="G13" i="8"/>
  <c r="I13" i="8" s="1"/>
  <c r="N13" i="8" s="1"/>
  <c r="H12" i="8"/>
  <c r="G12" i="8"/>
  <c r="I12" i="8" s="1"/>
  <c r="N12" i="8" s="1"/>
  <c r="H11" i="8"/>
  <c r="G11" i="8"/>
  <c r="I11" i="8" s="1"/>
  <c r="N11" i="8" s="1"/>
  <c r="H10" i="8"/>
  <c r="G10" i="8"/>
  <c r="I10" i="8" s="1"/>
  <c r="N10" i="8" s="1"/>
  <c r="H9" i="8"/>
  <c r="G9" i="8"/>
  <c r="I9" i="8" s="1"/>
  <c r="N9" i="8" s="1"/>
  <c r="H8" i="8"/>
  <c r="G8" i="8"/>
  <c r="I8" i="8" s="1"/>
  <c r="N8" i="8" s="1"/>
  <c r="H7" i="8"/>
  <c r="G7" i="8"/>
  <c r="I7" i="8" s="1"/>
  <c r="N7" i="8" s="1"/>
  <c r="H6" i="8"/>
  <c r="G6" i="8"/>
  <c r="I6" i="8" s="1"/>
  <c r="N6" i="8" s="1"/>
  <c r="H358" i="7"/>
  <c r="G358" i="7"/>
  <c r="I358" i="7" s="1"/>
  <c r="N358" i="7" s="1"/>
  <c r="H357" i="7"/>
  <c r="G357" i="7"/>
  <c r="I357" i="7" s="1"/>
  <c r="N357" i="7" s="1"/>
  <c r="H356" i="7"/>
  <c r="G356" i="7"/>
  <c r="I356" i="7" s="1"/>
  <c r="N356" i="7" s="1"/>
  <c r="H355" i="7"/>
  <c r="G355" i="7"/>
  <c r="I355" i="7" s="1"/>
  <c r="N355" i="7" s="1"/>
  <c r="H354" i="7"/>
  <c r="G354" i="7"/>
  <c r="I354" i="7" s="1"/>
  <c r="N354" i="7" s="1"/>
  <c r="H353" i="7"/>
  <c r="G353" i="7"/>
  <c r="I353" i="7" s="1"/>
  <c r="N353" i="7" s="1"/>
  <c r="H352" i="7"/>
  <c r="G352" i="7"/>
  <c r="I352" i="7" s="1"/>
  <c r="N352" i="7" s="1"/>
  <c r="H351" i="7"/>
  <c r="G351" i="7"/>
  <c r="I351" i="7" s="1"/>
  <c r="N351" i="7" s="1"/>
  <c r="H350" i="7"/>
  <c r="G350" i="7"/>
  <c r="I350" i="7" s="1"/>
  <c r="N350" i="7" s="1"/>
  <c r="H349" i="7"/>
  <c r="G349" i="7"/>
  <c r="I349" i="7" s="1"/>
  <c r="N349" i="7" s="1"/>
  <c r="H348" i="7"/>
  <c r="G348" i="7"/>
  <c r="I348" i="7" s="1"/>
  <c r="N348" i="7" s="1"/>
  <c r="H347" i="7"/>
  <c r="G347" i="7"/>
  <c r="I347" i="7" s="1"/>
  <c r="N347" i="7" s="1"/>
  <c r="H346" i="7"/>
  <c r="G346" i="7"/>
  <c r="I346" i="7" s="1"/>
  <c r="N346" i="7" s="1"/>
  <c r="H345" i="7"/>
  <c r="G345" i="7"/>
  <c r="I345" i="7" s="1"/>
  <c r="N345" i="7" s="1"/>
  <c r="H344" i="7"/>
  <c r="G344" i="7"/>
  <c r="I344" i="7" s="1"/>
  <c r="N344" i="7" s="1"/>
  <c r="H343" i="7"/>
  <c r="G343" i="7"/>
  <c r="I343" i="7" s="1"/>
  <c r="N343" i="7" s="1"/>
  <c r="H342" i="7"/>
  <c r="G342" i="7"/>
  <c r="I342" i="7" s="1"/>
  <c r="N342" i="7" s="1"/>
  <c r="H341" i="7"/>
  <c r="G341" i="7"/>
  <c r="I341" i="7" s="1"/>
  <c r="N341" i="7" s="1"/>
  <c r="H340" i="7"/>
  <c r="G340" i="7"/>
  <c r="I340" i="7" s="1"/>
  <c r="N340" i="7" s="1"/>
  <c r="H339" i="7"/>
  <c r="G339" i="7"/>
  <c r="I339" i="7" s="1"/>
  <c r="N339" i="7" s="1"/>
  <c r="H338" i="7"/>
  <c r="G338" i="7"/>
  <c r="I338" i="7" s="1"/>
  <c r="N338" i="7" s="1"/>
  <c r="H337" i="7"/>
  <c r="G337" i="7"/>
  <c r="I337" i="7" s="1"/>
  <c r="N337" i="7" s="1"/>
  <c r="H336" i="7"/>
  <c r="G336" i="7"/>
  <c r="I336" i="7" s="1"/>
  <c r="N336" i="7" s="1"/>
  <c r="H335" i="7"/>
  <c r="G335" i="7"/>
  <c r="I335" i="7" s="1"/>
  <c r="N335" i="7" s="1"/>
  <c r="H311" i="7"/>
  <c r="G311" i="7"/>
  <c r="I311" i="7" s="1"/>
  <c r="N311" i="7" s="1"/>
  <c r="H310" i="7"/>
  <c r="G310" i="7"/>
  <c r="I310" i="7" s="1"/>
  <c r="N310" i="7" s="1"/>
  <c r="H309" i="7"/>
  <c r="G309" i="7"/>
  <c r="I309" i="7" s="1"/>
  <c r="N309" i="7" s="1"/>
  <c r="H308" i="7"/>
  <c r="G308" i="7"/>
  <c r="I308" i="7" s="1"/>
  <c r="N308" i="7" s="1"/>
  <c r="H307" i="7"/>
  <c r="G307" i="7"/>
  <c r="I307" i="7" s="1"/>
  <c r="N307" i="7" s="1"/>
  <c r="H306" i="7"/>
  <c r="G306" i="7"/>
  <c r="I306" i="7" s="1"/>
  <c r="N306" i="7" s="1"/>
  <c r="H305" i="7"/>
  <c r="G305" i="7"/>
  <c r="I305" i="7" s="1"/>
  <c r="N305" i="7" s="1"/>
  <c r="H304" i="7"/>
  <c r="G304" i="7"/>
  <c r="I304" i="7" s="1"/>
  <c r="N304" i="7" s="1"/>
  <c r="H303" i="7"/>
  <c r="G303" i="7"/>
  <c r="I303" i="7" s="1"/>
  <c r="N303" i="7" s="1"/>
  <c r="H302" i="7"/>
  <c r="G302" i="7"/>
  <c r="I302" i="7" s="1"/>
  <c r="N302" i="7" s="1"/>
  <c r="H301" i="7"/>
  <c r="G301" i="7"/>
  <c r="I301" i="7" s="1"/>
  <c r="N301" i="7" s="1"/>
  <c r="H300" i="7"/>
  <c r="G300" i="7"/>
  <c r="I300" i="7" s="1"/>
  <c r="N300" i="7" s="1"/>
  <c r="H299" i="7"/>
  <c r="G299" i="7"/>
  <c r="I299" i="7" s="1"/>
  <c r="N299" i="7" s="1"/>
  <c r="H298" i="7"/>
  <c r="G298" i="7"/>
  <c r="I298" i="7" s="1"/>
  <c r="N298" i="7" s="1"/>
  <c r="H297" i="7"/>
  <c r="G297" i="7"/>
  <c r="I297" i="7" s="1"/>
  <c r="N297" i="7" s="1"/>
  <c r="H296" i="7"/>
  <c r="G296" i="7"/>
  <c r="I296" i="7" s="1"/>
  <c r="N296" i="7" s="1"/>
  <c r="H295" i="7"/>
  <c r="G295" i="7"/>
  <c r="I295" i="7" s="1"/>
  <c r="N295" i="7" s="1"/>
  <c r="H294" i="7"/>
  <c r="G294" i="7"/>
  <c r="I294" i="7" s="1"/>
  <c r="N294" i="7" s="1"/>
  <c r="H293" i="7"/>
  <c r="G293" i="7"/>
  <c r="I293" i="7" s="1"/>
  <c r="N293" i="7" s="1"/>
  <c r="H292" i="7"/>
  <c r="G292" i="7"/>
  <c r="I292" i="7" s="1"/>
  <c r="N292" i="7" s="1"/>
  <c r="H291" i="7"/>
  <c r="G291" i="7"/>
  <c r="I291" i="7" s="1"/>
  <c r="N291" i="7" s="1"/>
  <c r="H290" i="7"/>
  <c r="G290" i="7"/>
  <c r="I290" i="7" s="1"/>
  <c r="N290" i="7" s="1"/>
  <c r="H289" i="7"/>
  <c r="G289" i="7"/>
  <c r="I289" i="7" s="1"/>
  <c r="N289" i="7" s="1"/>
  <c r="H288" i="7"/>
  <c r="G288" i="7"/>
  <c r="I288" i="7" s="1"/>
  <c r="N288" i="7" s="1"/>
  <c r="H264" i="7"/>
  <c r="G264" i="7"/>
  <c r="I264" i="7" s="1"/>
  <c r="N264" i="7" s="1"/>
  <c r="H263" i="7"/>
  <c r="G263" i="7"/>
  <c r="I263" i="7" s="1"/>
  <c r="N263" i="7" s="1"/>
  <c r="H262" i="7"/>
  <c r="G262" i="7"/>
  <c r="I262" i="7" s="1"/>
  <c r="N262" i="7" s="1"/>
  <c r="H261" i="7"/>
  <c r="G261" i="7"/>
  <c r="I261" i="7" s="1"/>
  <c r="N261" i="7" s="1"/>
  <c r="H260" i="7"/>
  <c r="G260" i="7"/>
  <c r="I260" i="7" s="1"/>
  <c r="N260" i="7" s="1"/>
  <c r="H259" i="7"/>
  <c r="G259" i="7"/>
  <c r="I259" i="7" s="1"/>
  <c r="N259" i="7" s="1"/>
  <c r="H258" i="7"/>
  <c r="G258" i="7"/>
  <c r="I258" i="7" s="1"/>
  <c r="N258" i="7" s="1"/>
  <c r="H257" i="7"/>
  <c r="G257" i="7"/>
  <c r="I257" i="7" s="1"/>
  <c r="N257" i="7" s="1"/>
  <c r="H256" i="7"/>
  <c r="G256" i="7"/>
  <c r="I256" i="7" s="1"/>
  <c r="N256" i="7" s="1"/>
  <c r="H255" i="7"/>
  <c r="G255" i="7"/>
  <c r="I255" i="7" s="1"/>
  <c r="N255" i="7" s="1"/>
  <c r="H254" i="7"/>
  <c r="G254" i="7"/>
  <c r="I254" i="7" s="1"/>
  <c r="N254" i="7" s="1"/>
  <c r="H253" i="7"/>
  <c r="G253" i="7"/>
  <c r="I253" i="7" s="1"/>
  <c r="N253" i="7" s="1"/>
  <c r="H252" i="7"/>
  <c r="G252" i="7"/>
  <c r="I252" i="7" s="1"/>
  <c r="N252" i="7" s="1"/>
  <c r="H251" i="7"/>
  <c r="G251" i="7"/>
  <c r="I251" i="7" s="1"/>
  <c r="N251" i="7" s="1"/>
  <c r="H250" i="7"/>
  <c r="G250" i="7"/>
  <c r="I250" i="7" s="1"/>
  <c r="N250" i="7" s="1"/>
  <c r="H249" i="7"/>
  <c r="G249" i="7"/>
  <c r="I249" i="7" s="1"/>
  <c r="N249" i="7" s="1"/>
  <c r="H248" i="7"/>
  <c r="G248" i="7"/>
  <c r="I248" i="7" s="1"/>
  <c r="N248" i="7" s="1"/>
  <c r="H247" i="7"/>
  <c r="G247" i="7"/>
  <c r="I247" i="7" s="1"/>
  <c r="N247" i="7" s="1"/>
  <c r="H246" i="7"/>
  <c r="G246" i="7"/>
  <c r="I246" i="7" s="1"/>
  <c r="N246" i="7" s="1"/>
  <c r="H245" i="7"/>
  <c r="G245" i="7"/>
  <c r="I245" i="7" s="1"/>
  <c r="N245" i="7" s="1"/>
  <c r="H244" i="7"/>
  <c r="G244" i="7"/>
  <c r="I244" i="7" s="1"/>
  <c r="N244" i="7" s="1"/>
  <c r="H243" i="7"/>
  <c r="G243" i="7"/>
  <c r="I243" i="7" s="1"/>
  <c r="N243" i="7" s="1"/>
  <c r="H242" i="7"/>
  <c r="G242" i="7"/>
  <c r="I242" i="7" s="1"/>
  <c r="N242" i="7" s="1"/>
  <c r="H241" i="7"/>
  <c r="G241" i="7"/>
  <c r="I241" i="7" s="1"/>
  <c r="N241" i="7" s="1"/>
  <c r="H217" i="7"/>
  <c r="G217" i="7"/>
  <c r="I217" i="7" s="1"/>
  <c r="N217" i="7" s="1"/>
  <c r="H216" i="7"/>
  <c r="G216" i="7"/>
  <c r="I216" i="7" s="1"/>
  <c r="N216" i="7" s="1"/>
  <c r="H215" i="7"/>
  <c r="G215" i="7"/>
  <c r="I215" i="7" s="1"/>
  <c r="N215" i="7" s="1"/>
  <c r="H214" i="7"/>
  <c r="G214" i="7"/>
  <c r="I214" i="7" s="1"/>
  <c r="N214" i="7" s="1"/>
  <c r="H213" i="7"/>
  <c r="G213" i="7"/>
  <c r="I213" i="7" s="1"/>
  <c r="N213" i="7" s="1"/>
  <c r="H212" i="7"/>
  <c r="G212" i="7"/>
  <c r="I212" i="7" s="1"/>
  <c r="N212" i="7" s="1"/>
  <c r="H211" i="7"/>
  <c r="G211" i="7"/>
  <c r="I211" i="7" s="1"/>
  <c r="N211" i="7" s="1"/>
  <c r="H210" i="7"/>
  <c r="G210" i="7"/>
  <c r="I210" i="7" s="1"/>
  <c r="N210" i="7" s="1"/>
  <c r="H209" i="7"/>
  <c r="G209" i="7"/>
  <c r="I209" i="7" s="1"/>
  <c r="N209" i="7" s="1"/>
  <c r="H208" i="7"/>
  <c r="G208" i="7"/>
  <c r="I208" i="7" s="1"/>
  <c r="N208" i="7" s="1"/>
  <c r="H207" i="7"/>
  <c r="G207" i="7"/>
  <c r="I207" i="7" s="1"/>
  <c r="N207" i="7" s="1"/>
  <c r="H206" i="7"/>
  <c r="G206" i="7"/>
  <c r="I206" i="7" s="1"/>
  <c r="N206" i="7" s="1"/>
  <c r="H205" i="7"/>
  <c r="G205" i="7"/>
  <c r="I205" i="7" s="1"/>
  <c r="N205" i="7" s="1"/>
  <c r="H204" i="7"/>
  <c r="G204" i="7"/>
  <c r="I204" i="7" s="1"/>
  <c r="N204" i="7" s="1"/>
  <c r="H203" i="7"/>
  <c r="G203" i="7"/>
  <c r="I203" i="7" s="1"/>
  <c r="N203" i="7" s="1"/>
  <c r="H202" i="7"/>
  <c r="G202" i="7"/>
  <c r="I202" i="7" s="1"/>
  <c r="N202" i="7" s="1"/>
  <c r="H201" i="7"/>
  <c r="G201" i="7"/>
  <c r="I201" i="7" s="1"/>
  <c r="N201" i="7" s="1"/>
  <c r="H200" i="7"/>
  <c r="G200" i="7"/>
  <c r="I200" i="7" s="1"/>
  <c r="N200" i="7" s="1"/>
  <c r="H199" i="7"/>
  <c r="G199" i="7"/>
  <c r="I199" i="7" s="1"/>
  <c r="N199" i="7" s="1"/>
  <c r="H198" i="7"/>
  <c r="G198" i="7"/>
  <c r="I198" i="7" s="1"/>
  <c r="N198" i="7" s="1"/>
  <c r="H197" i="7"/>
  <c r="G197" i="7"/>
  <c r="I197" i="7" s="1"/>
  <c r="N197" i="7" s="1"/>
  <c r="H196" i="7"/>
  <c r="G196" i="7"/>
  <c r="I196" i="7" s="1"/>
  <c r="N196" i="7" s="1"/>
  <c r="H195" i="7"/>
  <c r="G195" i="7"/>
  <c r="I195" i="7" s="1"/>
  <c r="N195" i="7" s="1"/>
  <c r="H194" i="7"/>
  <c r="G194" i="7"/>
  <c r="I194" i="7" s="1"/>
  <c r="N194" i="7" s="1"/>
  <c r="H170" i="7"/>
  <c r="G170" i="7"/>
  <c r="I170" i="7" s="1"/>
  <c r="N170" i="7" s="1"/>
  <c r="H169" i="7"/>
  <c r="G169" i="7"/>
  <c r="I169" i="7" s="1"/>
  <c r="N169" i="7" s="1"/>
  <c r="H168" i="7"/>
  <c r="G168" i="7"/>
  <c r="I168" i="7" s="1"/>
  <c r="N168" i="7" s="1"/>
  <c r="H167" i="7"/>
  <c r="G167" i="7"/>
  <c r="I167" i="7" s="1"/>
  <c r="N167" i="7" s="1"/>
  <c r="H166" i="7"/>
  <c r="G166" i="7"/>
  <c r="I166" i="7" s="1"/>
  <c r="N166" i="7" s="1"/>
  <c r="H165" i="7"/>
  <c r="G165" i="7"/>
  <c r="I165" i="7" s="1"/>
  <c r="N165" i="7" s="1"/>
  <c r="H164" i="7"/>
  <c r="G164" i="7"/>
  <c r="I164" i="7" s="1"/>
  <c r="N164" i="7" s="1"/>
  <c r="H163" i="7"/>
  <c r="G163" i="7"/>
  <c r="I163" i="7" s="1"/>
  <c r="N163" i="7" s="1"/>
  <c r="H162" i="7"/>
  <c r="G162" i="7"/>
  <c r="I162" i="7" s="1"/>
  <c r="N162" i="7" s="1"/>
  <c r="H161" i="7"/>
  <c r="G161" i="7"/>
  <c r="I161" i="7" s="1"/>
  <c r="N161" i="7" s="1"/>
  <c r="H160" i="7"/>
  <c r="G160" i="7"/>
  <c r="I160" i="7" s="1"/>
  <c r="N160" i="7" s="1"/>
  <c r="H159" i="7"/>
  <c r="G159" i="7"/>
  <c r="I159" i="7" s="1"/>
  <c r="N159" i="7" s="1"/>
  <c r="H158" i="7"/>
  <c r="G158" i="7"/>
  <c r="I158" i="7" s="1"/>
  <c r="N158" i="7" s="1"/>
  <c r="H157" i="7"/>
  <c r="G157" i="7"/>
  <c r="I157" i="7" s="1"/>
  <c r="N157" i="7" s="1"/>
  <c r="H156" i="7"/>
  <c r="G156" i="7"/>
  <c r="I156" i="7" s="1"/>
  <c r="N156" i="7" s="1"/>
  <c r="H155" i="7"/>
  <c r="G155" i="7"/>
  <c r="I155" i="7" s="1"/>
  <c r="N155" i="7" s="1"/>
  <c r="H154" i="7"/>
  <c r="G154" i="7"/>
  <c r="I154" i="7" s="1"/>
  <c r="N154" i="7" s="1"/>
  <c r="H153" i="7"/>
  <c r="G153" i="7"/>
  <c r="I153" i="7" s="1"/>
  <c r="N153" i="7" s="1"/>
  <c r="H152" i="7"/>
  <c r="G152" i="7"/>
  <c r="I152" i="7" s="1"/>
  <c r="N152" i="7" s="1"/>
  <c r="H151" i="7"/>
  <c r="G151" i="7"/>
  <c r="I151" i="7" s="1"/>
  <c r="N151" i="7" s="1"/>
  <c r="H150" i="7"/>
  <c r="G150" i="7"/>
  <c r="I150" i="7" s="1"/>
  <c r="N150" i="7" s="1"/>
  <c r="H149" i="7"/>
  <c r="G149" i="7"/>
  <c r="I149" i="7" s="1"/>
  <c r="N149" i="7" s="1"/>
  <c r="H148" i="7"/>
  <c r="G148" i="7"/>
  <c r="I148" i="7" s="1"/>
  <c r="N148" i="7" s="1"/>
  <c r="H147" i="7"/>
  <c r="G147" i="7"/>
  <c r="I147" i="7" s="1"/>
  <c r="N147" i="7" s="1"/>
  <c r="H123" i="7"/>
  <c r="G123" i="7"/>
  <c r="I123" i="7" s="1"/>
  <c r="N123" i="7" s="1"/>
  <c r="H122" i="7"/>
  <c r="G122" i="7"/>
  <c r="I122" i="7" s="1"/>
  <c r="N122" i="7" s="1"/>
  <c r="H121" i="7"/>
  <c r="G121" i="7"/>
  <c r="I121" i="7" s="1"/>
  <c r="N121" i="7" s="1"/>
  <c r="H120" i="7"/>
  <c r="G120" i="7"/>
  <c r="I120" i="7" s="1"/>
  <c r="N120" i="7" s="1"/>
  <c r="H119" i="7"/>
  <c r="G119" i="7"/>
  <c r="I119" i="7" s="1"/>
  <c r="N119" i="7" s="1"/>
  <c r="H118" i="7"/>
  <c r="G118" i="7"/>
  <c r="I118" i="7" s="1"/>
  <c r="N118" i="7" s="1"/>
  <c r="H117" i="7"/>
  <c r="G117" i="7"/>
  <c r="I117" i="7" s="1"/>
  <c r="N117" i="7" s="1"/>
  <c r="H116" i="7"/>
  <c r="G116" i="7"/>
  <c r="I116" i="7" s="1"/>
  <c r="N116" i="7" s="1"/>
  <c r="H115" i="7"/>
  <c r="G115" i="7"/>
  <c r="I115" i="7" s="1"/>
  <c r="N115" i="7" s="1"/>
  <c r="H114" i="7"/>
  <c r="G114" i="7"/>
  <c r="I114" i="7" s="1"/>
  <c r="N114" i="7" s="1"/>
  <c r="H113" i="7"/>
  <c r="G113" i="7"/>
  <c r="I113" i="7" s="1"/>
  <c r="N113" i="7" s="1"/>
  <c r="H112" i="7"/>
  <c r="G112" i="7"/>
  <c r="I112" i="7" s="1"/>
  <c r="N112" i="7" s="1"/>
  <c r="H111" i="7"/>
  <c r="G111" i="7"/>
  <c r="I111" i="7" s="1"/>
  <c r="N111" i="7" s="1"/>
  <c r="H110" i="7"/>
  <c r="G110" i="7"/>
  <c r="I110" i="7" s="1"/>
  <c r="N110" i="7" s="1"/>
  <c r="H109" i="7"/>
  <c r="G109" i="7"/>
  <c r="I109" i="7" s="1"/>
  <c r="N109" i="7" s="1"/>
  <c r="H108" i="7"/>
  <c r="G108" i="7"/>
  <c r="I108" i="7" s="1"/>
  <c r="N108" i="7" s="1"/>
  <c r="H107" i="7"/>
  <c r="G107" i="7"/>
  <c r="I107" i="7" s="1"/>
  <c r="N107" i="7" s="1"/>
  <c r="H106" i="7"/>
  <c r="G106" i="7"/>
  <c r="I106" i="7" s="1"/>
  <c r="N106" i="7" s="1"/>
  <c r="H105" i="7"/>
  <c r="G105" i="7"/>
  <c r="I105" i="7" s="1"/>
  <c r="N105" i="7" s="1"/>
  <c r="H104" i="7"/>
  <c r="G104" i="7"/>
  <c r="I104" i="7" s="1"/>
  <c r="N104" i="7" s="1"/>
  <c r="H103" i="7"/>
  <c r="G103" i="7"/>
  <c r="I103" i="7" s="1"/>
  <c r="N103" i="7" s="1"/>
  <c r="H102" i="7"/>
  <c r="G102" i="7"/>
  <c r="I102" i="7" s="1"/>
  <c r="N102" i="7" s="1"/>
  <c r="H101" i="7"/>
  <c r="G101" i="7"/>
  <c r="I101" i="7" s="1"/>
  <c r="N101" i="7" s="1"/>
  <c r="H100" i="7"/>
  <c r="G100" i="7"/>
  <c r="I100" i="7" s="1"/>
  <c r="N100" i="7" s="1"/>
  <c r="H76" i="7"/>
  <c r="G76" i="7"/>
  <c r="I76" i="7" s="1"/>
  <c r="N76" i="7" s="1"/>
  <c r="H75" i="7"/>
  <c r="G75" i="7"/>
  <c r="I75" i="7" s="1"/>
  <c r="N75" i="7" s="1"/>
  <c r="H74" i="7"/>
  <c r="G74" i="7"/>
  <c r="I74" i="7" s="1"/>
  <c r="N74" i="7" s="1"/>
  <c r="H73" i="7"/>
  <c r="G73" i="7"/>
  <c r="I73" i="7" s="1"/>
  <c r="N73" i="7" s="1"/>
  <c r="H72" i="7"/>
  <c r="G72" i="7"/>
  <c r="I72" i="7" s="1"/>
  <c r="N72" i="7" s="1"/>
  <c r="H71" i="7"/>
  <c r="G71" i="7"/>
  <c r="I71" i="7" s="1"/>
  <c r="N71" i="7" s="1"/>
  <c r="H70" i="7"/>
  <c r="G70" i="7"/>
  <c r="I70" i="7" s="1"/>
  <c r="N70" i="7" s="1"/>
  <c r="H69" i="7"/>
  <c r="G69" i="7"/>
  <c r="I69" i="7" s="1"/>
  <c r="N69" i="7" s="1"/>
  <c r="H68" i="7"/>
  <c r="G68" i="7"/>
  <c r="I68" i="7" s="1"/>
  <c r="N68" i="7" s="1"/>
  <c r="H67" i="7"/>
  <c r="G67" i="7"/>
  <c r="I67" i="7" s="1"/>
  <c r="N67" i="7" s="1"/>
  <c r="H66" i="7"/>
  <c r="G66" i="7"/>
  <c r="I66" i="7" s="1"/>
  <c r="N66" i="7" s="1"/>
  <c r="H65" i="7"/>
  <c r="G65" i="7"/>
  <c r="I65" i="7" s="1"/>
  <c r="N65" i="7" s="1"/>
  <c r="H64" i="7"/>
  <c r="G64" i="7"/>
  <c r="I64" i="7" s="1"/>
  <c r="N64" i="7" s="1"/>
  <c r="H63" i="7"/>
  <c r="G63" i="7"/>
  <c r="I63" i="7" s="1"/>
  <c r="N63" i="7" s="1"/>
  <c r="H62" i="7"/>
  <c r="G62" i="7"/>
  <c r="I62" i="7" s="1"/>
  <c r="N62" i="7" s="1"/>
  <c r="H61" i="7"/>
  <c r="G61" i="7"/>
  <c r="I61" i="7" s="1"/>
  <c r="N61" i="7" s="1"/>
  <c r="H60" i="7"/>
  <c r="G60" i="7"/>
  <c r="I60" i="7" s="1"/>
  <c r="N60" i="7" s="1"/>
  <c r="H59" i="7"/>
  <c r="G59" i="7"/>
  <c r="I59" i="7" s="1"/>
  <c r="N59" i="7" s="1"/>
  <c r="H58" i="7"/>
  <c r="G58" i="7"/>
  <c r="I58" i="7" s="1"/>
  <c r="N58" i="7" s="1"/>
  <c r="H57" i="7"/>
  <c r="G57" i="7"/>
  <c r="I57" i="7" s="1"/>
  <c r="N57" i="7" s="1"/>
  <c r="H56" i="7"/>
  <c r="G56" i="7"/>
  <c r="I56" i="7" s="1"/>
  <c r="N56" i="7" s="1"/>
  <c r="H55" i="7"/>
  <c r="G55" i="7"/>
  <c r="I55" i="7" s="1"/>
  <c r="N55" i="7" s="1"/>
  <c r="H54" i="7"/>
  <c r="G54" i="7"/>
  <c r="I54" i="7" s="1"/>
  <c r="N54" i="7" s="1"/>
  <c r="H53" i="7"/>
  <c r="G53" i="7"/>
  <c r="I53" i="7" s="1"/>
  <c r="N53" i="7" s="1"/>
  <c r="G22" i="7"/>
  <c r="I22" i="7" s="1"/>
  <c r="N22" i="7" s="1"/>
  <c r="H22" i="7"/>
  <c r="G23" i="7"/>
  <c r="I23" i="7" s="1"/>
  <c r="N23" i="7" s="1"/>
  <c r="H23" i="7"/>
  <c r="G24" i="7"/>
  <c r="H24" i="7"/>
  <c r="I24" i="7"/>
  <c r="N24" i="7" s="1"/>
  <c r="G25" i="7"/>
  <c r="I25" i="7" s="1"/>
  <c r="N25" i="7" s="1"/>
  <c r="H25" i="7"/>
  <c r="G26" i="7"/>
  <c r="H26" i="7"/>
  <c r="I26" i="7"/>
  <c r="N26" i="7" s="1"/>
  <c r="G27" i="7"/>
  <c r="H27" i="7"/>
  <c r="I27" i="7"/>
  <c r="N27" i="7" s="1"/>
  <c r="G28" i="7"/>
  <c r="I28" i="7" s="1"/>
  <c r="N28" i="7" s="1"/>
  <c r="H28" i="7"/>
  <c r="G29" i="7"/>
  <c r="H29" i="7"/>
  <c r="I29" i="7"/>
  <c r="N29" i="7" s="1"/>
  <c r="H21" i="7"/>
  <c r="G21" i="7"/>
  <c r="I21" i="7" s="1"/>
  <c r="N21" i="7" s="1"/>
  <c r="H20" i="7"/>
  <c r="G20" i="7"/>
  <c r="I20" i="7" s="1"/>
  <c r="N20" i="7" s="1"/>
  <c r="H19" i="7"/>
  <c r="G19" i="7"/>
  <c r="I19" i="7" s="1"/>
  <c r="N19" i="7" s="1"/>
  <c r="H18" i="7"/>
  <c r="G18" i="7"/>
  <c r="I18" i="7" s="1"/>
  <c r="N18" i="7" s="1"/>
  <c r="H17" i="7"/>
  <c r="G17" i="7"/>
  <c r="I17" i="7" s="1"/>
  <c r="N17" i="7" s="1"/>
  <c r="H16" i="7"/>
  <c r="G16" i="7"/>
  <c r="I16" i="7" s="1"/>
  <c r="N16" i="7" s="1"/>
  <c r="H15" i="7"/>
  <c r="G15" i="7"/>
  <c r="I15" i="7" s="1"/>
  <c r="N15" i="7" s="1"/>
  <c r="H14" i="7"/>
  <c r="G14" i="7"/>
  <c r="I14" i="7" s="1"/>
  <c r="N14" i="7" s="1"/>
  <c r="H13" i="7"/>
  <c r="G13" i="7"/>
  <c r="I13" i="7" s="1"/>
  <c r="N13" i="7" s="1"/>
  <c r="H12" i="7"/>
  <c r="G12" i="7"/>
  <c r="I12" i="7" s="1"/>
  <c r="N12" i="7" s="1"/>
  <c r="H11" i="7"/>
  <c r="G11" i="7"/>
  <c r="I11" i="7" s="1"/>
  <c r="N11" i="7" s="1"/>
  <c r="H10" i="7"/>
  <c r="G10" i="7"/>
  <c r="I10" i="7" s="1"/>
  <c r="N10" i="7" s="1"/>
  <c r="H9" i="7"/>
  <c r="G9" i="7"/>
  <c r="I9" i="7" s="1"/>
  <c r="N9" i="7" s="1"/>
  <c r="H8" i="7"/>
  <c r="G8" i="7"/>
  <c r="I8" i="7" s="1"/>
  <c r="N8" i="7" s="1"/>
  <c r="H7" i="7"/>
  <c r="G7" i="7"/>
  <c r="I7" i="7" s="1"/>
  <c r="N7" i="7" s="1"/>
  <c r="H6" i="7"/>
  <c r="G6" i="7"/>
  <c r="I6" i="7" s="1"/>
  <c r="N6" i="7" s="1"/>
  <c r="H185" i="1"/>
  <c r="G185" i="1"/>
  <c r="I185" i="1" s="1"/>
  <c r="N185" i="1" s="1"/>
  <c r="H184" i="1"/>
  <c r="G184" i="1"/>
  <c r="I184" i="1" s="1"/>
  <c r="N184" i="1" s="1"/>
  <c r="H183" i="1"/>
  <c r="G183" i="1"/>
  <c r="I183" i="1" s="1"/>
  <c r="N183" i="1" s="1"/>
  <c r="H182" i="1"/>
  <c r="G182" i="1"/>
  <c r="I182" i="1" s="1"/>
  <c r="N182" i="1" s="1"/>
  <c r="H181" i="1"/>
  <c r="G181" i="1"/>
  <c r="I181" i="1" s="1"/>
  <c r="N181" i="1" s="1"/>
  <c r="H180" i="1"/>
  <c r="G180" i="1"/>
  <c r="I180" i="1" s="1"/>
  <c r="N180" i="1" s="1"/>
  <c r="H179" i="1"/>
  <c r="G179" i="1"/>
  <c r="I179" i="1" s="1"/>
  <c r="N179" i="1" s="1"/>
  <c r="H178" i="1"/>
  <c r="G178" i="1"/>
  <c r="I178" i="1" s="1"/>
  <c r="N178" i="1" s="1"/>
  <c r="H177" i="1"/>
  <c r="G177" i="1"/>
  <c r="I177" i="1" s="1"/>
  <c r="N177" i="1" s="1"/>
  <c r="H176" i="1"/>
  <c r="G176" i="1"/>
  <c r="I176" i="1" s="1"/>
  <c r="N176" i="1" s="1"/>
  <c r="H175" i="1"/>
  <c r="G175" i="1"/>
  <c r="I175" i="1" s="1"/>
  <c r="N175" i="1" s="1"/>
  <c r="H174" i="1"/>
  <c r="G174" i="1"/>
  <c r="I174" i="1" s="1"/>
  <c r="N174" i="1" s="1"/>
  <c r="H173" i="1"/>
  <c r="G173" i="1"/>
  <c r="I173" i="1" s="1"/>
  <c r="N173" i="1" s="1"/>
  <c r="H172" i="1"/>
  <c r="G172" i="1"/>
  <c r="I172" i="1" s="1"/>
  <c r="N172" i="1" s="1"/>
  <c r="H171" i="1"/>
  <c r="G171" i="1"/>
  <c r="I171" i="1" s="1"/>
  <c r="N171" i="1" s="1"/>
  <c r="H170" i="1"/>
  <c r="G170" i="1"/>
  <c r="I170" i="1" s="1"/>
  <c r="N170" i="1" s="1"/>
  <c r="H162" i="1"/>
  <c r="G162" i="1"/>
  <c r="I162" i="1" s="1"/>
  <c r="N162" i="1" s="1"/>
  <c r="H161" i="1"/>
  <c r="G161" i="1"/>
  <c r="I161" i="1" s="1"/>
  <c r="N161" i="1" s="1"/>
  <c r="H160" i="1"/>
  <c r="G160" i="1"/>
  <c r="I160" i="1" s="1"/>
  <c r="N160" i="1" s="1"/>
  <c r="H159" i="1"/>
  <c r="G159" i="1"/>
  <c r="I159" i="1" s="1"/>
  <c r="N159" i="1" s="1"/>
  <c r="H158" i="1"/>
  <c r="G158" i="1"/>
  <c r="I158" i="1" s="1"/>
  <c r="N158" i="1" s="1"/>
  <c r="H157" i="1"/>
  <c r="G157" i="1"/>
  <c r="I157" i="1" s="1"/>
  <c r="N157" i="1" s="1"/>
  <c r="H156" i="1"/>
  <c r="G156" i="1"/>
  <c r="I156" i="1" s="1"/>
  <c r="N156" i="1" s="1"/>
  <c r="H155" i="1"/>
  <c r="G155" i="1"/>
  <c r="I155" i="1" s="1"/>
  <c r="N155" i="1" s="1"/>
  <c r="H154" i="1"/>
  <c r="G154" i="1"/>
  <c r="I154" i="1" s="1"/>
  <c r="N154" i="1" s="1"/>
  <c r="H153" i="1"/>
  <c r="G153" i="1"/>
  <c r="I153" i="1" s="1"/>
  <c r="N153" i="1" s="1"/>
  <c r="H152" i="1"/>
  <c r="G152" i="1"/>
  <c r="I152" i="1" s="1"/>
  <c r="N152" i="1" s="1"/>
  <c r="H151" i="1"/>
  <c r="G151" i="1"/>
  <c r="I151" i="1" s="1"/>
  <c r="N151" i="1" s="1"/>
  <c r="H150" i="1"/>
  <c r="G150" i="1"/>
  <c r="I150" i="1" s="1"/>
  <c r="N150" i="1" s="1"/>
  <c r="H149" i="1"/>
  <c r="G149" i="1"/>
  <c r="I149" i="1" s="1"/>
  <c r="N149" i="1" s="1"/>
  <c r="H148" i="1"/>
  <c r="G148" i="1"/>
  <c r="I148" i="1" s="1"/>
  <c r="N148" i="1" s="1"/>
  <c r="H147" i="1"/>
  <c r="G147" i="1"/>
  <c r="I147" i="1" s="1"/>
  <c r="N147" i="1" s="1"/>
  <c r="H138" i="1"/>
  <c r="G138" i="1"/>
  <c r="I138" i="1" s="1"/>
  <c r="N138" i="1" s="1"/>
  <c r="H137" i="1"/>
  <c r="G137" i="1"/>
  <c r="I137" i="1" s="1"/>
  <c r="N137" i="1" s="1"/>
  <c r="H136" i="1"/>
  <c r="G136" i="1"/>
  <c r="I136" i="1" s="1"/>
  <c r="N136" i="1" s="1"/>
  <c r="H135" i="1"/>
  <c r="G135" i="1"/>
  <c r="I135" i="1" s="1"/>
  <c r="N135" i="1" s="1"/>
  <c r="H134" i="1"/>
  <c r="G134" i="1"/>
  <c r="I134" i="1" s="1"/>
  <c r="N134" i="1" s="1"/>
  <c r="H133" i="1"/>
  <c r="G133" i="1"/>
  <c r="I133" i="1" s="1"/>
  <c r="N133" i="1" s="1"/>
  <c r="H132" i="1"/>
  <c r="G132" i="1"/>
  <c r="I132" i="1" s="1"/>
  <c r="N132" i="1" s="1"/>
  <c r="H131" i="1"/>
  <c r="G131" i="1"/>
  <c r="I131" i="1" s="1"/>
  <c r="N131" i="1" s="1"/>
  <c r="H130" i="1"/>
  <c r="G130" i="1"/>
  <c r="I130" i="1" s="1"/>
  <c r="N130" i="1" s="1"/>
  <c r="H129" i="1"/>
  <c r="G129" i="1"/>
  <c r="I129" i="1" s="1"/>
  <c r="N129" i="1" s="1"/>
  <c r="H128" i="1"/>
  <c r="G128" i="1"/>
  <c r="I128" i="1" s="1"/>
  <c r="N128" i="1" s="1"/>
  <c r="H127" i="1"/>
  <c r="G127" i="1"/>
  <c r="I127" i="1" s="1"/>
  <c r="N127" i="1" s="1"/>
  <c r="H126" i="1"/>
  <c r="G126" i="1"/>
  <c r="I126" i="1" s="1"/>
  <c r="N126" i="1" s="1"/>
  <c r="H125" i="1"/>
  <c r="G125" i="1"/>
  <c r="I125" i="1" s="1"/>
  <c r="N125" i="1" s="1"/>
  <c r="H124" i="1"/>
  <c r="G124" i="1"/>
  <c r="I124" i="1" s="1"/>
  <c r="N124" i="1" s="1"/>
  <c r="H123" i="1"/>
  <c r="G123" i="1"/>
  <c r="I123" i="1" s="1"/>
  <c r="N123" i="1" s="1"/>
  <c r="H115" i="1"/>
  <c r="G115" i="1"/>
  <c r="I115" i="1" s="1"/>
  <c r="N115" i="1" s="1"/>
  <c r="H114" i="1"/>
  <c r="G114" i="1"/>
  <c r="I114" i="1" s="1"/>
  <c r="N114" i="1" s="1"/>
  <c r="H113" i="1"/>
  <c r="G113" i="1"/>
  <c r="I113" i="1" s="1"/>
  <c r="N113" i="1" s="1"/>
  <c r="H112" i="1"/>
  <c r="G112" i="1"/>
  <c r="I112" i="1" s="1"/>
  <c r="N112" i="1" s="1"/>
  <c r="H111" i="1"/>
  <c r="G111" i="1"/>
  <c r="I111" i="1" s="1"/>
  <c r="N111" i="1" s="1"/>
  <c r="H110" i="1"/>
  <c r="G110" i="1"/>
  <c r="I110" i="1" s="1"/>
  <c r="N110" i="1" s="1"/>
  <c r="H109" i="1"/>
  <c r="G109" i="1"/>
  <c r="I109" i="1" s="1"/>
  <c r="N109" i="1" s="1"/>
  <c r="H108" i="1"/>
  <c r="G108" i="1"/>
  <c r="I108" i="1" s="1"/>
  <c r="N108" i="1" s="1"/>
  <c r="H107" i="1"/>
  <c r="G107" i="1"/>
  <c r="I107" i="1" s="1"/>
  <c r="N107" i="1" s="1"/>
  <c r="H106" i="1"/>
  <c r="G106" i="1"/>
  <c r="I106" i="1" s="1"/>
  <c r="N106" i="1" s="1"/>
  <c r="H105" i="1"/>
  <c r="G105" i="1"/>
  <c r="I105" i="1" s="1"/>
  <c r="N105" i="1" s="1"/>
  <c r="H104" i="1"/>
  <c r="G104" i="1"/>
  <c r="I104" i="1" s="1"/>
  <c r="N104" i="1" s="1"/>
  <c r="H103" i="1"/>
  <c r="G103" i="1"/>
  <c r="I103" i="1" s="1"/>
  <c r="N103" i="1" s="1"/>
  <c r="H102" i="1"/>
  <c r="G102" i="1"/>
  <c r="I102" i="1" s="1"/>
  <c r="N102" i="1" s="1"/>
  <c r="H101" i="1"/>
  <c r="G101" i="1"/>
  <c r="I101" i="1" s="1"/>
  <c r="N101" i="1" s="1"/>
  <c r="H100" i="1"/>
  <c r="G100" i="1"/>
  <c r="I100" i="1" s="1"/>
  <c r="N100" i="1" s="1"/>
  <c r="H91" i="1"/>
  <c r="G91" i="1"/>
  <c r="I91" i="1" s="1"/>
  <c r="N91" i="1" s="1"/>
  <c r="H90" i="1"/>
  <c r="G90" i="1"/>
  <c r="I90" i="1" s="1"/>
  <c r="N90" i="1" s="1"/>
  <c r="H89" i="1"/>
  <c r="G89" i="1"/>
  <c r="I89" i="1" s="1"/>
  <c r="N89" i="1" s="1"/>
  <c r="H88" i="1"/>
  <c r="G88" i="1"/>
  <c r="I88" i="1" s="1"/>
  <c r="N88" i="1" s="1"/>
  <c r="H87" i="1"/>
  <c r="G87" i="1"/>
  <c r="I87" i="1" s="1"/>
  <c r="N87" i="1" s="1"/>
  <c r="H86" i="1"/>
  <c r="G86" i="1"/>
  <c r="I86" i="1" s="1"/>
  <c r="N86" i="1" s="1"/>
  <c r="H85" i="1"/>
  <c r="G85" i="1"/>
  <c r="I85" i="1" s="1"/>
  <c r="N85" i="1" s="1"/>
  <c r="H84" i="1"/>
  <c r="G84" i="1"/>
  <c r="I84" i="1" s="1"/>
  <c r="N84" i="1" s="1"/>
  <c r="H83" i="1"/>
  <c r="G83" i="1"/>
  <c r="I83" i="1" s="1"/>
  <c r="N83" i="1" s="1"/>
  <c r="H82" i="1"/>
  <c r="G82" i="1"/>
  <c r="I82" i="1" s="1"/>
  <c r="N82" i="1" s="1"/>
  <c r="H81" i="1"/>
  <c r="G81" i="1"/>
  <c r="I81" i="1" s="1"/>
  <c r="N81" i="1" s="1"/>
  <c r="H80" i="1"/>
  <c r="G80" i="1"/>
  <c r="I80" i="1" s="1"/>
  <c r="N80" i="1" s="1"/>
  <c r="H79" i="1"/>
  <c r="G79" i="1"/>
  <c r="I79" i="1" s="1"/>
  <c r="N79" i="1" s="1"/>
  <c r="H78" i="1"/>
  <c r="G78" i="1"/>
  <c r="I78" i="1" s="1"/>
  <c r="N78" i="1" s="1"/>
  <c r="H77" i="1"/>
  <c r="G77" i="1"/>
  <c r="I77" i="1" s="1"/>
  <c r="N77" i="1" s="1"/>
  <c r="H76" i="1"/>
  <c r="G76" i="1"/>
  <c r="I76" i="1" s="1"/>
  <c r="N76" i="1" s="1"/>
  <c r="H68" i="1"/>
  <c r="G68" i="1"/>
  <c r="I68" i="1" s="1"/>
  <c r="N68" i="1" s="1"/>
  <c r="H67" i="1"/>
  <c r="G67" i="1"/>
  <c r="I67" i="1" s="1"/>
  <c r="N67" i="1" s="1"/>
  <c r="H66" i="1"/>
  <c r="G66" i="1"/>
  <c r="I66" i="1" s="1"/>
  <c r="N66" i="1" s="1"/>
  <c r="H65" i="1"/>
  <c r="G65" i="1"/>
  <c r="I65" i="1" s="1"/>
  <c r="N65" i="1" s="1"/>
  <c r="H64" i="1"/>
  <c r="G64" i="1"/>
  <c r="I64" i="1" s="1"/>
  <c r="N64" i="1" s="1"/>
  <c r="H63" i="1"/>
  <c r="G63" i="1"/>
  <c r="I63" i="1" s="1"/>
  <c r="N63" i="1" s="1"/>
  <c r="H62" i="1"/>
  <c r="G62" i="1"/>
  <c r="I62" i="1" s="1"/>
  <c r="N62" i="1" s="1"/>
  <c r="H61" i="1"/>
  <c r="G61" i="1"/>
  <c r="I61" i="1" s="1"/>
  <c r="N61" i="1" s="1"/>
  <c r="H60" i="1"/>
  <c r="G60" i="1"/>
  <c r="I60" i="1" s="1"/>
  <c r="N60" i="1" s="1"/>
  <c r="H59" i="1"/>
  <c r="G59" i="1"/>
  <c r="I59" i="1" s="1"/>
  <c r="N59" i="1" s="1"/>
  <c r="H58" i="1"/>
  <c r="G58" i="1"/>
  <c r="I58" i="1" s="1"/>
  <c r="N58" i="1" s="1"/>
  <c r="H57" i="1"/>
  <c r="G57" i="1"/>
  <c r="I57" i="1" s="1"/>
  <c r="N57" i="1" s="1"/>
  <c r="H56" i="1"/>
  <c r="G56" i="1"/>
  <c r="I56" i="1" s="1"/>
  <c r="N56" i="1" s="1"/>
  <c r="H55" i="1"/>
  <c r="G55" i="1"/>
  <c r="I55" i="1" s="1"/>
  <c r="N55" i="1" s="1"/>
  <c r="H54" i="1"/>
  <c r="G54" i="1"/>
  <c r="I54" i="1" s="1"/>
  <c r="N54" i="1" s="1"/>
  <c r="H53" i="1"/>
  <c r="G53" i="1"/>
  <c r="I53" i="1" s="1"/>
  <c r="N53" i="1" s="1"/>
  <c r="H44" i="1"/>
  <c r="G44" i="1"/>
  <c r="I44" i="1" s="1"/>
  <c r="N44" i="1" s="1"/>
  <c r="H43" i="1"/>
  <c r="G43" i="1"/>
  <c r="I43" i="1" s="1"/>
  <c r="N43" i="1" s="1"/>
  <c r="H42" i="1"/>
  <c r="G42" i="1"/>
  <c r="I42" i="1" s="1"/>
  <c r="N42" i="1" s="1"/>
  <c r="H41" i="1"/>
  <c r="G41" i="1"/>
  <c r="I41" i="1" s="1"/>
  <c r="N41" i="1" s="1"/>
  <c r="H40" i="1"/>
  <c r="G40" i="1"/>
  <c r="I40" i="1" s="1"/>
  <c r="N40" i="1" s="1"/>
  <c r="H39" i="1"/>
  <c r="G39" i="1"/>
  <c r="I39" i="1" s="1"/>
  <c r="N39" i="1" s="1"/>
  <c r="H38" i="1"/>
  <c r="G38" i="1"/>
  <c r="I38" i="1" s="1"/>
  <c r="N38" i="1" s="1"/>
  <c r="H37" i="1"/>
  <c r="G37" i="1"/>
  <c r="I37" i="1" s="1"/>
  <c r="N37" i="1" s="1"/>
  <c r="H36" i="1"/>
  <c r="G36" i="1"/>
  <c r="I36" i="1" s="1"/>
  <c r="N36" i="1" s="1"/>
  <c r="H35" i="1"/>
  <c r="G35" i="1"/>
  <c r="I35" i="1" s="1"/>
  <c r="N35" i="1" s="1"/>
  <c r="H34" i="1"/>
  <c r="G34" i="1"/>
  <c r="I34" i="1" s="1"/>
  <c r="N34" i="1" s="1"/>
  <c r="H33" i="1"/>
  <c r="G33" i="1"/>
  <c r="I33" i="1" s="1"/>
  <c r="N33" i="1" s="1"/>
  <c r="H32" i="1"/>
  <c r="G32" i="1"/>
  <c r="I32" i="1" s="1"/>
  <c r="N32" i="1" s="1"/>
  <c r="H31" i="1"/>
  <c r="G31" i="1"/>
  <c r="I31" i="1" s="1"/>
  <c r="N31" i="1" s="1"/>
  <c r="H30" i="1"/>
  <c r="G30" i="1"/>
  <c r="I30" i="1" s="1"/>
  <c r="N30" i="1" s="1"/>
  <c r="H29" i="1"/>
  <c r="G29" i="1"/>
  <c r="I29" i="1" s="1"/>
  <c r="N29" i="1" s="1"/>
  <c r="G14" i="1"/>
  <c r="I14" i="1" s="1"/>
  <c r="N14" i="1" s="1"/>
  <c r="H14" i="1"/>
  <c r="G15" i="1"/>
  <c r="I15" i="1" s="1"/>
  <c r="N15" i="1" s="1"/>
  <c r="H15" i="1"/>
  <c r="G16" i="1"/>
  <c r="H16" i="1"/>
  <c r="I16" i="1"/>
  <c r="N16" i="1" s="1"/>
  <c r="G17" i="1"/>
  <c r="I17" i="1" s="1"/>
  <c r="N17" i="1" s="1"/>
  <c r="H17" i="1"/>
  <c r="G18" i="1"/>
  <c r="H18" i="1"/>
  <c r="I18" i="1"/>
  <c r="N18" i="1" s="1"/>
  <c r="G19" i="1"/>
  <c r="I19" i="1" s="1"/>
  <c r="N19" i="1" s="1"/>
  <c r="H19" i="1"/>
  <c r="G20" i="1"/>
  <c r="I20" i="1" s="1"/>
  <c r="N20" i="1" s="1"/>
  <c r="H20" i="1"/>
  <c r="G21" i="1"/>
  <c r="H21" i="1"/>
  <c r="I21" i="1"/>
  <c r="N21" i="1" s="1"/>
  <c r="H137" i="6"/>
  <c r="G137" i="6"/>
  <c r="I137" i="6" s="1"/>
  <c r="N137" i="6" s="1"/>
  <c r="H136" i="6"/>
  <c r="G136" i="6"/>
  <c r="I136" i="6" s="1"/>
  <c r="N136" i="6" s="1"/>
  <c r="H135" i="6"/>
  <c r="G135" i="6"/>
  <c r="I135" i="6" s="1"/>
  <c r="N135" i="6" s="1"/>
  <c r="H134" i="6"/>
  <c r="G134" i="6"/>
  <c r="I134" i="6" s="1"/>
  <c r="N134" i="6" s="1"/>
  <c r="H133" i="6"/>
  <c r="G133" i="6"/>
  <c r="I133" i="6" s="1"/>
  <c r="N133" i="6" s="1"/>
  <c r="H132" i="6"/>
  <c r="G132" i="6"/>
  <c r="I132" i="6" s="1"/>
  <c r="N132" i="6" s="1"/>
  <c r="H131" i="6"/>
  <c r="G131" i="6"/>
  <c r="I131" i="6" s="1"/>
  <c r="N131" i="6" s="1"/>
  <c r="H130" i="6"/>
  <c r="G130" i="6"/>
  <c r="I130" i="6" s="1"/>
  <c r="N130" i="6" s="1"/>
  <c r="H122" i="6"/>
  <c r="G122" i="6"/>
  <c r="I122" i="6" s="1"/>
  <c r="N122" i="6" s="1"/>
  <c r="H121" i="6"/>
  <c r="G121" i="6"/>
  <c r="I121" i="6" s="1"/>
  <c r="N121" i="6" s="1"/>
  <c r="H120" i="6"/>
  <c r="G120" i="6"/>
  <c r="I120" i="6" s="1"/>
  <c r="N120" i="6" s="1"/>
  <c r="H119" i="6"/>
  <c r="G119" i="6"/>
  <c r="I119" i="6" s="1"/>
  <c r="N119" i="6" s="1"/>
  <c r="H118" i="6"/>
  <c r="G118" i="6"/>
  <c r="I118" i="6" s="1"/>
  <c r="N118" i="6" s="1"/>
  <c r="H117" i="6"/>
  <c r="G117" i="6"/>
  <c r="I117" i="6" s="1"/>
  <c r="N117" i="6" s="1"/>
  <c r="H116" i="6"/>
  <c r="G116" i="6"/>
  <c r="I116" i="6" s="1"/>
  <c r="N116" i="6" s="1"/>
  <c r="H115" i="6"/>
  <c r="G115" i="6"/>
  <c r="I115" i="6" s="1"/>
  <c r="N115" i="6" s="1"/>
  <c r="H107" i="6"/>
  <c r="G107" i="6"/>
  <c r="I107" i="6" s="1"/>
  <c r="N107" i="6" s="1"/>
  <c r="H106" i="6"/>
  <c r="G106" i="6"/>
  <c r="I106" i="6" s="1"/>
  <c r="N106" i="6" s="1"/>
  <c r="H105" i="6"/>
  <c r="G105" i="6"/>
  <c r="I105" i="6" s="1"/>
  <c r="N105" i="6" s="1"/>
  <c r="H104" i="6"/>
  <c r="G104" i="6"/>
  <c r="I104" i="6" s="1"/>
  <c r="N104" i="6" s="1"/>
  <c r="H103" i="6"/>
  <c r="G103" i="6"/>
  <c r="I103" i="6" s="1"/>
  <c r="N103" i="6" s="1"/>
  <c r="H102" i="6"/>
  <c r="G102" i="6"/>
  <c r="I102" i="6" s="1"/>
  <c r="N102" i="6" s="1"/>
  <c r="H101" i="6"/>
  <c r="G101" i="6"/>
  <c r="I101" i="6" s="1"/>
  <c r="N101" i="6" s="1"/>
  <c r="H100" i="6"/>
  <c r="G100" i="6"/>
  <c r="I100" i="6" s="1"/>
  <c r="N100" i="6" s="1"/>
  <c r="H90" i="6"/>
  <c r="G90" i="6"/>
  <c r="I90" i="6" s="1"/>
  <c r="N90" i="6" s="1"/>
  <c r="H89" i="6"/>
  <c r="G89" i="6"/>
  <c r="I89" i="6" s="1"/>
  <c r="N89" i="6" s="1"/>
  <c r="H88" i="6"/>
  <c r="G88" i="6"/>
  <c r="I88" i="6" s="1"/>
  <c r="N88" i="6" s="1"/>
  <c r="H87" i="6"/>
  <c r="G87" i="6"/>
  <c r="I87" i="6" s="1"/>
  <c r="N87" i="6" s="1"/>
  <c r="H86" i="6"/>
  <c r="G86" i="6"/>
  <c r="I86" i="6" s="1"/>
  <c r="N86" i="6" s="1"/>
  <c r="H85" i="6"/>
  <c r="G85" i="6"/>
  <c r="I85" i="6" s="1"/>
  <c r="N85" i="6" s="1"/>
  <c r="H84" i="6"/>
  <c r="G84" i="6"/>
  <c r="I84" i="6" s="1"/>
  <c r="N84" i="6" s="1"/>
  <c r="H83" i="6"/>
  <c r="G83" i="6"/>
  <c r="I83" i="6" s="1"/>
  <c r="N83" i="6" s="1"/>
  <c r="H75" i="6"/>
  <c r="G75" i="6"/>
  <c r="I75" i="6" s="1"/>
  <c r="N75" i="6" s="1"/>
  <c r="H74" i="6"/>
  <c r="G74" i="6"/>
  <c r="I74" i="6" s="1"/>
  <c r="N74" i="6" s="1"/>
  <c r="H73" i="6"/>
  <c r="G73" i="6"/>
  <c r="I73" i="6" s="1"/>
  <c r="N73" i="6" s="1"/>
  <c r="H72" i="6"/>
  <c r="G72" i="6"/>
  <c r="I72" i="6" s="1"/>
  <c r="N72" i="6" s="1"/>
  <c r="H71" i="6"/>
  <c r="G71" i="6"/>
  <c r="I71" i="6" s="1"/>
  <c r="N71" i="6" s="1"/>
  <c r="H70" i="6"/>
  <c r="G70" i="6"/>
  <c r="I70" i="6" s="1"/>
  <c r="N70" i="6" s="1"/>
  <c r="H69" i="6"/>
  <c r="G69" i="6"/>
  <c r="I69" i="6" s="1"/>
  <c r="N69" i="6" s="1"/>
  <c r="H68" i="6"/>
  <c r="G68" i="6"/>
  <c r="I68" i="6" s="1"/>
  <c r="N68" i="6" s="1"/>
  <c r="H60" i="6"/>
  <c r="G60" i="6"/>
  <c r="I60" i="6" s="1"/>
  <c r="N60" i="6" s="1"/>
  <c r="H59" i="6"/>
  <c r="G59" i="6"/>
  <c r="I59" i="6" s="1"/>
  <c r="N59" i="6" s="1"/>
  <c r="H58" i="6"/>
  <c r="G58" i="6"/>
  <c r="I58" i="6" s="1"/>
  <c r="N58" i="6" s="1"/>
  <c r="H57" i="6"/>
  <c r="G57" i="6"/>
  <c r="I57" i="6" s="1"/>
  <c r="N57" i="6" s="1"/>
  <c r="H56" i="6"/>
  <c r="G56" i="6"/>
  <c r="I56" i="6" s="1"/>
  <c r="N56" i="6" s="1"/>
  <c r="H55" i="6"/>
  <c r="G55" i="6"/>
  <c r="I55" i="6" s="1"/>
  <c r="N55" i="6" s="1"/>
  <c r="H54" i="6"/>
  <c r="G54" i="6"/>
  <c r="I54" i="6" s="1"/>
  <c r="N54" i="6" s="1"/>
  <c r="H53" i="6"/>
  <c r="G53" i="6"/>
  <c r="I53" i="6" s="1"/>
  <c r="N53" i="6" s="1"/>
  <c r="H43" i="6"/>
  <c r="G43" i="6"/>
  <c r="I43" i="6" s="1"/>
  <c r="N43" i="6" s="1"/>
  <c r="H42" i="6"/>
  <c r="G42" i="6"/>
  <c r="I42" i="6" s="1"/>
  <c r="N42" i="6" s="1"/>
  <c r="H41" i="6"/>
  <c r="G41" i="6"/>
  <c r="I41" i="6" s="1"/>
  <c r="N41" i="6" s="1"/>
  <c r="H40" i="6"/>
  <c r="G40" i="6"/>
  <c r="I40" i="6" s="1"/>
  <c r="N40" i="6" s="1"/>
  <c r="H39" i="6"/>
  <c r="G39" i="6"/>
  <c r="I39" i="6" s="1"/>
  <c r="N39" i="6" s="1"/>
  <c r="H38" i="6"/>
  <c r="G38" i="6"/>
  <c r="I38" i="6" s="1"/>
  <c r="N38" i="6" s="1"/>
  <c r="H37" i="6"/>
  <c r="G37" i="6"/>
  <c r="I37" i="6" s="1"/>
  <c r="N37" i="6" s="1"/>
  <c r="H36" i="6"/>
  <c r="G36" i="6"/>
  <c r="I36" i="6" s="1"/>
  <c r="N36" i="6" s="1"/>
  <c r="H28" i="6"/>
  <c r="G28" i="6"/>
  <c r="I28" i="6" s="1"/>
  <c r="N28" i="6" s="1"/>
  <c r="H27" i="6"/>
  <c r="G27" i="6"/>
  <c r="I27" i="6" s="1"/>
  <c r="N27" i="6" s="1"/>
  <c r="H26" i="6"/>
  <c r="G26" i="6"/>
  <c r="I26" i="6" s="1"/>
  <c r="N26" i="6" s="1"/>
  <c r="H25" i="6"/>
  <c r="G25" i="6"/>
  <c r="I25" i="6" s="1"/>
  <c r="N25" i="6" s="1"/>
  <c r="H24" i="6"/>
  <c r="G24" i="6"/>
  <c r="I24" i="6" s="1"/>
  <c r="N24" i="6" s="1"/>
  <c r="H23" i="6"/>
  <c r="G23" i="6"/>
  <c r="I23" i="6" s="1"/>
  <c r="N23" i="6" s="1"/>
  <c r="H22" i="6"/>
  <c r="G22" i="6"/>
  <c r="I22" i="6" s="1"/>
  <c r="N22" i="6" s="1"/>
  <c r="H21" i="6"/>
  <c r="G21" i="6"/>
  <c r="I21" i="6" s="1"/>
  <c r="N21" i="6" s="1"/>
  <c r="H13" i="6"/>
  <c r="G13" i="6"/>
  <c r="I13" i="6" s="1"/>
  <c r="N13" i="6" s="1"/>
  <c r="H12" i="6"/>
  <c r="G12" i="6"/>
  <c r="I12" i="6" s="1"/>
  <c r="N12" i="6" s="1"/>
  <c r="H11" i="6"/>
  <c r="G11" i="6"/>
  <c r="I11" i="6" s="1"/>
  <c r="N11" i="6" s="1"/>
  <c r="H10" i="6"/>
  <c r="G10" i="6"/>
  <c r="I10" i="6" s="1"/>
  <c r="N10" i="6" s="1"/>
  <c r="H9" i="6"/>
  <c r="G9" i="6"/>
  <c r="I9" i="6" s="1"/>
  <c r="N9" i="6" s="1"/>
  <c r="H8" i="6"/>
  <c r="G8" i="6"/>
  <c r="I8" i="6" s="1"/>
  <c r="N8" i="6" s="1"/>
  <c r="H7" i="6"/>
  <c r="G7" i="6"/>
  <c r="I7" i="6" s="1"/>
  <c r="N7" i="6" s="1"/>
  <c r="H6" i="6"/>
  <c r="G6" i="6"/>
  <c r="I6" i="6" s="1"/>
  <c r="N6" i="6" s="1"/>
  <c r="H179" i="5"/>
  <c r="G179" i="5"/>
  <c r="I179" i="5" s="1"/>
  <c r="N179" i="5" s="1"/>
  <c r="H178" i="5"/>
  <c r="G178" i="5"/>
  <c r="I178" i="5" s="1"/>
  <c r="N178" i="5" s="1"/>
  <c r="H177" i="5"/>
  <c r="G177" i="5"/>
  <c r="I177" i="5" s="1"/>
  <c r="N177" i="5" s="1"/>
  <c r="H176" i="5"/>
  <c r="G176" i="5"/>
  <c r="I176" i="5" s="1"/>
  <c r="N176" i="5" s="1"/>
  <c r="H175" i="5"/>
  <c r="G175" i="5"/>
  <c r="I175" i="5" s="1"/>
  <c r="N175" i="5" s="1"/>
  <c r="H174" i="5"/>
  <c r="G174" i="5"/>
  <c r="I174" i="5" s="1"/>
  <c r="N174" i="5" s="1"/>
  <c r="H173" i="5"/>
  <c r="G173" i="5"/>
  <c r="I173" i="5" s="1"/>
  <c r="N173" i="5" s="1"/>
  <c r="H172" i="5"/>
  <c r="G172" i="5"/>
  <c r="I172" i="5" s="1"/>
  <c r="N172" i="5" s="1"/>
  <c r="H171" i="5"/>
  <c r="G171" i="5"/>
  <c r="I171" i="5" s="1"/>
  <c r="N171" i="5" s="1"/>
  <c r="H170" i="5"/>
  <c r="G170" i="5"/>
  <c r="I170" i="5" s="1"/>
  <c r="N170" i="5" s="1"/>
  <c r="H169" i="5"/>
  <c r="G169" i="5"/>
  <c r="I169" i="5" s="1"/>
  <c r="N169" i="5" s="1"/>
  <c r="H168" i="5"/>
  <c r="G168" i="5"/>
  <c r="I168" i="5" s="1"/>
  <c r="N168" i="5" s="1"/>
  <c r="H167" i="5"/>
  <c r="G167" i="5"/>
  <c r="I167" i="5" s="1"/>
  <c r="N167" i="5" s="1"/>
  <c r="H159" i="5"/>
  <c r="G159" i="5"/>
  <c r="I159" i="5" s="1"/>
  <c r="N159" i="5" s="1"/>
  <c r="H158" i="5"/>
  <c r="G158" i="5"/>
  <c r="I158" i="5" s="1"/>
  <c r="N158" i="5" s="1"/>
  <c r="H157" i="5"/>
  <c r="G157" i="5"/>
  <c r="I157" i="5" s="1"/>
  <c r="N157" i="5" s="1"/>
  <c r="H156" i="5"/>
  <c r="G156" i="5"/>
  <c r="I156" i="5" s="1"/>
  <c r="N156" i="5" s="1"/>
  <c r="H155" i="5"/>
  <c r="G155" i="5"/>
  <c r="I155" i="5" s="1"/>
  <c r="N155" i="5" s="1"/>
  <c r="H154" i="5"/>
  <c r="G154" i="5"/>
  <c r="I154" i="5" s="1"/>
  <c r="N154" i="5" s="1"/>
  <c r="H153" i="5"/>
  <c r="G153" i="5"/>
  <c r="I153" i="5" s="1"/>
  <c r="N153" i="5" s="1"/>
  <c r="H152" i="5"/>
  <c r="G152" i="5"/>
  <c r="I152" i="5" s="1"/>
  <c r="N152" i="5" s="1"/>
  <c r="H151" i="5"/>
  <c r="G151" i="5"/>
  <c r="I151" i="5" s="1"/>
  <c r="N151" i="5" s="1"/>
  <c r="H150" i="5"/>
  <c r="G150" i="5"/>
  <c r="I150" i="5" s="1"/>
  <c r="N150" i="5" s="1"/>
  <c r="H149" i="5"/>
  <c r="G149" i="5"/>
  <c r="I149" i="5" s="1"/>
  <c r="N149" i="5" s="1"/>
  <c r="H148" i="5"/>
  <c r="G148" i="5"/>
  <c r="I148" i="5" s="1"/>
  <c r="N148" i="5" s="1"/>
  <c r="H147" i="5"/>
  <c r="G147" i="5"/>
  <c r="I147" i="5" s="1"/>
  <c r="N147" i="5" s="1"/>
  <c r="H132" i="5"/>
  <c r="G132" i="5"/>
  <c r="I132" i="5" s="1"/>
  <c r="N132" i="5" s="1"/>
  <c r="H131" i="5"/>
  <c r="G131" i="5"/>
  <c r="I131" i="5" s="1"/>
  <c r="N131" i="5" s="1"/>
  <c r="H130" i="5"/>
  <c r="G130" i="5"/>
  <c r="I130" i="5" s="1"/>
  <c r="N130" i="5" s="1"/>
  <c r="H129" i="5"/>
  <c r="G129" i="5"/>
  <c r="I129" i="5" s="1"/>
  <c r="N129" i="5" s="1"/>
  <c r="H128" i="5"/>
  <c r="G128" i="5"/>
  <c r="I128" i="5" s="1"/>
  <c r="N128" i="5" s="1"/>
  <c r="H127" i="5"/>
  <c r="G127" i="5"/>
  <c r="I127" i="5" s="1"/>
  <c r="N127" i="5" s="1"/>
  <c r="H126" i="5"/>
  <c r="G126" i="5"/>
  <c r="I126" i="5" s="1"/>
  <c r="N126" i="5" s="1"/>
  <c r="H125" i="5"/>
  <c r="G125" i="5"/>
  <c r="I125" i="5" s="1"/>
  <c r="N125" i="5" s="1"/>
  <c r="H124" i="5"/>
  <c r="G124" i="5"/>
  <c r="I124" i="5" s="1"/>
  <c r="N124" i="5" s="1"/>
  <c r="H123" i="5"/>
  <c r="G123" i="5"/>
  <c r="I123" i="5" s="1"/>
  <c r="N123" i="5" s="1"/>
  <c r="H122" i="5"/>
  <c r="G122" i="5"/>
  <c r="I122" i="5" s="1"/>
  <c r="N122" i="5" s="1"/>
  <c r="H121" i="5"/>
  <c r="G121" i="5"/>
  <c r="I121" i="5" s="1"/>
  <c r="N121" i="5" s="1"/>
  <c r="H120" i="5"/>
  <c r="G120" i="5"/>
  <c r="I120" i="5" s="1"/>
  <c r="N120" i="5" s="1"/>
  <c r="H112" i="5"/>
  <c r="G112" i="5"/>
  <c r="I112" i="5" s="1"/>
  <c r="N112" i="5" s="1"/>
  <c r="H111" i="5"/>
  <c r="G111" i="5"/>
  <c r="I111" i="5" s="1"/>
  <c r="N111" i="5" s="1"/>
  <c r="H110" i="5"/>
  <c r="G110" i="5"/>
  <c r="I110" i="5" s="1"/>
  <c r="N110" i="5" s="1"/>
  <c r="H109" i="5"/>
  <c r="G109" i="5"/>
  <c r="I109" i="5" s="1"/>
  <c r="N109" i="5" s="1"/>
  <c r="H108" i="5"/>
  <c r="G108" i="5"/>
  <c r="I108" i="5" s="1"/>
  <c r="N108" i="5" s="1"/>
  <c r="H107" i="5"/>
  <c r="G107" i="5"/>
  <c r="I107" i="5" s="1"/>
  <c r="N107" i="5" s="1"/>
  <c r="H106" i="5"/>
  <c r="G106" i="5"/>
  <c r="I106" i="5" s="1"/>
  <c r="N106" i="5" s="1"/>
  <c r="H105" i="5"/>
  <c r="G105" i="5"/>
  <c r="I105" i="5" s="1"/>
  <c r="N105" i="5" s="1"/>
  <c r="H104" i="5"/>
  <c r="G104" i="5"/>
  <c r="I104" i="5" s="1"/>
  <c r="N104" i="5" s="1"/>
  <c r="H103" i="5"/>
  <c r="G103" i="5"/>
  <c r="I103" i="5" s="1"/>
  <c r="N103" i="5" s="1"/>
  <c r="H102" i="5"/>
  <c r="G102" i="5"/>
  <c r="I102" i="5" s="1"/>
  <c r="N102" i="5" s="1"/>
  <c r="H101" i="5"/>
  <c r="G101" i="5"/>
  <c r="I101" i="5" s="1"/>
  <c r="N101" i="5" s="1"/>
  <c r="H100" i="5"/>
  <c r="G100" i="5"/>
  <c r="I100" i="5" s="1"/>
  <c r="N100" i="5" s="1"/>
  <c r="H85" i="5"/>
  <c r="G85" i="5"/>
  <c r="I85" i="5" s="1"/>
  <c r="N85" i="5" s="1"/>
  <c r="H84" i="5"/>
  <c r="G84" i="5"/>
  <c r="I84" i="5" s="1"/>
  <c r="N84" i="5" s="1"/>
  <c r="H83" i="5"/>
  <c r="G83" i="5"/>
  <c r="I83" i="5" s="1"/>
  <c r="N83" i="5" s="1"/>
  <c r="H82" i="5"/>
  <c r="G82" i="5"/>
  <c r="I82" i="5" s="1"/>
  <c r="N82" i="5" s="1"/>
  <c r="H81" i="5"/>
  <c r="G81" i="5"/>
  <c r="I81" i="5" s="1"/>
  <c r="N81" i="5" s="1"/>
  <c r="H80" i="5"/>
  <c r="G80" i="5"/>
  <c r="I80" i="5" s="1"/>
  <c r="N80" i="5" s="1"/>
  <c r="H79" i="5"/>
  <c r="G79" i="5"/>
  <c r="I79" i="5" s="1"/>
  <c r="N79" i="5" s="1"/>
  <c r="H78" i="5"/>
  <c r="G78" i="5"/>
  <c r="I78" i="5" s="1"/>
  <c r="N78" i="5" s="1"/>
  <c r="H77" i="5"/>
  <c r="G77" i="5"/>
  <c r="I77" i="5" s="1"/>
  <c r="N77" i="5" s="1"/>
  <c r="H76" i="5"/>
  <c r="G76" i="5"/>
  <c r="I76" i="5" s="1"/>
  <c r="N76" i="5" s="1"/>
  <c r="H75" i="5"/>
  <c r="G75" i="5"/>
  <c r="I75" i="5" s="1"/>
  <c r="N75" i="5" s="1"/>
  <c r="H74" i="5"/>
  <c r="G74" i="5"/>
  <c r="I74" i="5" s="1"/>
  <c r="N74" i="5" s="1"/>
  <c r="H73" i="5"/>
  <c r="G73" i="5"/>
  <c r="I73" i="5" s="1"/>
  <c r="N73" i="5" s="1"/>
  <c r="H65" i="5"/>
  <c r="G65" i="5"/>
  <c r="I65" i="5" s="1"/>
  <c r="N65" i="5" s="1"/>
  <c r="H64" i="5"/>
  <c r="G64" i="5"/>
  <c r="I64" i="5" s="1"/>
  <c r="N64" i="5" s="1"/>
  <c r="H63" i="5"/>
  <c r="G63" i="5"/>
  <c r="I63" i="5" s="1"/>
  <c r="N63" i="5" s="1"/>
  <c r="H62" i="5"/>
  <c r="G62" i="5"/>
  <c r="I62" i="5" s="1"/>
  <c r="N62" i="5" s="1"/>
  <c r="H61" i="5"/>
  <c r="G61" i="5"/>
  <c r="I61" i="5" s="1"/>
  <c r="N61" i="5" s="1"/>
  <c r="H60" i="5"/>
  <c r="G60" i="5"/>
  <c r="I60" i="5" s="1"/>
  <c r="N60" i="5" s="1"/>
  <c r="H59" i="5"/>
  <c r="G59" i="5"/>
  <c r="I59" i="5" s="1"/>
  <c r="N59" i="5" s="1"/>
  <c r="H58" i="5"/>
  <c r="G58" i="5"/>
  <c r="I58" i="5" s="1"/>
  <c r="N58" i="5" s="1"/>
  <c r="H57" i="5"/>
  <c r="G57" i="5"/>
  <c r="I57" i="5" s="1"/>
  <c r="N57" i="5" s="1"/>
  <c r="H56" i="5"/>
  <c r="G56" i="5"/>
  <c r="I56" i="5" s="1"/>
  <c r="N56" i="5" s="1"/>
  <c r="H55" i="5"/>
  <c r="G55" i="5"/>
  <c r="I55" i="5" s="1"/>
  <c r="N55" i="5" s="1"/>
  <c r="H54" i="5"/>
  <c r="G54" i="5"/>
  <c r="I54" i="5" s="1"/>
  <c r="N54" i="5" s="1"/>
  <c r="H53" i="5"/>
  <c r="G53" i="5"/>
  <c r="I53" i="5" s="1"/>
  <c r="N53" i="5" s="1"/>
  <c r="H38" i="5"/>
  <c r="G38" i="5"/>
  <c r="I38" i="5" s="1"/>
  <c r="N38" i="5" s="1"/>
  <c r="H37" i="5"/>
  <c r="G37" i="5"/>
  <c r="I37" i="5" s="1"/>
  <c r="N37" i="5" s="1"/>
  <c r="H36" i="5"/>
  <c r="G36" i="5"/>
  <c r="I36" i="5" s="1"/>
  <c r="N36" i="5" s="1"/>
  <c r="H35" i="5"/>
  <c r="G35" i="5"/>
  <c r="I35" i="5" s="1"/>
  <c r="N35" i="5" s="1"/>
  <c r="H34" i="5"/>
  <c r="G34" i="5"/>
  <c r="I34" i="5" s="1"/>
  <c r="N34" i="5" s="1"/>
  <c r="H33" i="5"/>
  <c r="G33" i="5"/>
  <c r="I33" i="5" s="1"/>
  <c r="N33" i="5" s="1"/>
  <c r="H32" i="5"/>
  <c r="G32" i="5"/>
  <c r="I32" i="5" s="1"/>
  <c r="N32" i="5" s="1"/>
  <c r="H31" i="5"/>
  <c r="G31" i="5"/>
  <c r="I31" i="5" s="1"/>
  <c r="N31" i="5" s="1"/>
  <c r="H30" i="5"/>
  <c r="G30" i="5"/>
  <c r="I30" i="5" s="1"/>
  <c r="N30" i="5" s="1"/>
  <c r="H29" i="5"/>
  <c r="G29" i="5"/>
  <c r="I29" i="5" s="1"/>
  <c r="N29" i="5" s="1"/>
  <c r="H28" i="5"/>
  <c r="G28" i="5"/>
  <c r="I28" i="5" s="1"/>
  <c r="N28" i="5" s="1"/>
  <c r="H27" i="5"/>
  <c r="G27" i="5"/>
  <c r="I27" i="5" s="1"/>
  <c r="N27" i="5" s="1"/>
  <c r="H26" i="5"/>
  <c r="G26" i="5"/>
  <c r="I26" i="5" s="1"/>
  <c r="N26" i="5" s="1"/>
  <c r="H14" i="5"/>
  <c r="H15" i="5"/>
  <c r="H16" i="5"/>
  <c r="H17" i="5"/>
  <c r="H18" i="5"/>
  <c r="G14" i="5"/>
  <c r="I14" i="5" s="1"/>
  <c r="N14" i="5" s="1"/>
  <c r="G15" i="5"/>
  <c r="I15" i="5" s="1"/>
  <c r="N15" i="5" s="1"/>
  <c r="G16" i="5"/>
  <c r="I16" i="5" s="1"/>
  <c r="N16" i="5" s="1"/>
  <c r="G17" i="5"/>
  <c r="I17" i="5" s="1"/>
  <c r="N17" i="5" s="1"/>
  <c r="G18" i="5"/>
  <c r="I18" i="5" s="1"/>
  <c r="N18" i="5" s="1"/>
  <c r="H13" i="5"/>
  <c r="G13" i="5"/>
  <c r="I13" i="5" s="1"/>
  <c r="N13" i="5" s="1"/>
  <c r="H12" i="5"/>
  <c r="G12" i="5"/>
  <c r="I12" i="5" s="1"/>
  <c r="N12" i="5" s="1"/>
  <c r="H11" i="5"/>
  <c r="G11" i="5"/>
  <c r="I11" i="5" s="1"/>
  <c r="N11" i="5" s="1"/>
  <c r="H10" i="5"/>
  <c r="G10" i="5"/>
  <c r="I10" i="5" s="1"/>
  <c r="N10" i="5" s="1"/>
  <c r="H9" i="5"/>
  <c r="G9" i="5"/>
  <c r="I9" i="5" s="1"/>
  <c r="N9" i="5" s="1"/>
  <c r="H8" i="5"/>
  <c r="G8" i="5"/>
  <c r="I8" i="5" s="1"/>
  <c r="N8" i="5" s="1"/>
  <c r="H7" i="5"/>
  <c r="G7" i="5"/>
  <c r="I7" i="5" s="1"/>
  <c r="N7" i="5" s="1"/>
  <c r="H6" i="5"/>
  <c r="G6" i="5"/>
  <c r="I6" i="5" s="1"/>
  <c r="N6" i="5" s="1"/>
  <c r="H209" i="4"/>
  <c r="G209" i="4"/>
  <c r="I209" i="4" s="1"/>
  <c r="N209" i="4" s="1"/>
  <c r="H208" i="4"/>
  <c r="G208" i="4"/>
  <c r="I208" i="4" s="1"/>
  <c r="N208" i="4" s="1"/>
  <c r="H207" i="4"/>
  <c r="G207" i="4"/>
  <c r="I207" i="4" s="1"/>
  <c r="N207" i="4" s="1"/>
  <c r="H206" i="4"/>
  <c r="G206" i="4"/>
  <c r="I206" i="4" s="1"/>
  <c r="N206" i="4" s="1"/>
  <c r="H205" i="4"/>
  <c r="G205" i="4"/>
  <c r="I205" i="4" s="1"/>
  <c r="N205" i="4" s="1"/>
  <c r="H204" i="4"/>
  <c r="G204" i="4"/>
  <c r="I204" i="4" s="1"/>
  <c r="N204" i="4" s="1"/>
  <c r="H203" i="4"/>
  <c r="G203" i="4"/>
  <c r="I203" i="4" s="1"/>
  <c r="N203" i="4" s="1"/>
  <c r="H202" i="4"/>
  <c r="G202" i="4"/>
  <c r="I202" i="4" s="1"/>
  <c r="N202" i="4" s="1"/>
  <c r="H201" i="4"/>
  <c r="G201" i="4"/>
  <c r="I201" i="4" s="1"/>
  <c r="N201" i="4" s="1"/>
  <c r="H200" i="4"/>
  <c r="G200" i="4"/>
  <c r="I200" i="4" s="1"/>
  <c r="N200" i="4" s="1"/>
  <c r="H199" i="4"/>
  <c r="G199" i="4"/>
  <c r="I199" i="4" s="1"/>
  <c r="N199" i="4" s="1"/>
  <c r="H198" i="4"/>
  <c r="G198" i="4"/>
  <c r="I198" i="4" s="1"/>
  <c r="N198" i="4" s="1"/>
  <c r="H197" i="4"/>
  <c r="G197" i="4"/>
  <c r="I197" i="4" s="1"/>
  <c r="N197" i="4" s="1"/>
  <c r="H196" i="4"/>
  <c r="G196" i="4"/>
  <c r="I196" i="4" s="1"/>
  <c r="N196" i="4" s="1"/>
  <c r="H195" i="4"/>
  <c r="G195" i="4"/>
  <c r="I195" i="4" s="1"/>
  <c r="N195" i="4" s="1"/>
  <c r="H194" i="4"/>
  <c r="G194" i="4"/>
  <c r="I194" i="4" s="1"/>
  <c r="N194" i="4" s="1"/>
  <c r="H186" i="4"/>
  <c r="G186" i="4"/>
  <c r="I186" i="4" s="1"/>
  <c r="N186" i="4" s="1"/>
  <c r="H185" i="4"/>
  <c r="G185" i="4"/>
  <c r="I185" i="4" s="1"/>
  <c r="N185" i="4" s="1"/>
  <c r="H184" i="4"/>
  <c r="G184" i="4"/>
  <c r="I184" i="4" s="1"/>
  <c r="N184" i="4" s="1"/>
  <c r="H183" i="4"/>
  <c r="G183" i="4"/>
  <c r="I183" i="4" s="1"/>
  <c r="N183" i="4" s="1"/>
  <c r="H182" i="4"/>
  <c r="G182" i="4"/>
  <c r="I182" i="4" s="1"/>
  <c r="N182" i="4" s="1"/>
  <c r="H181" i="4"/>
  <c r="G181" i="4"/>
  <c r="I181" i="4" s="1"/>
  <c r="N181" i="4" s="1"/>
  <c r="H180" i="4"/>
  <c r="G180" i="4"/>
  <c r="I180" i="4" s="1"/>
  <c r="N180" i="4" s="1"/>
  <c r="H179" i="4"/>
  <c r="G179" i="4"/>
  <c r="I179" i="4" s="1"/>
  <c r="N179" i="4" s="1"/>
  <c r="H178" i="4"/>
  <c r="G178" i="4"/>
  <c r="I178" i="4" s="1"/>
  <c r="N178" i="4" s="1"/>
  <c r="H177" i="4"/>
  <c r="G177" i="4"/>
  <c r="I177" i="4" s="1"/>
  <c r="N177" i="4" s="1"/>
  <c r="H176" i="4"/>
  <c r="G176" i="4"/>
  <c r="I176" i="4" s="1"/>
  <c r="N176" i="4" s="1"/>
  <c r="H175" i="4"/>
  <c r="G175" i="4"/>
  <c r="I175" i="4" s="1"/>
  <c r="N175" i="4" s="1"/>
  <c r="H174" i="4"/>
  <c r="G174" i="4"/>
  <c r="I174" i="4" s="1"/>
  <c r="N174" i="4" s="1"/>
  <c r="H173" i="4"/>
  <c r="G173" i="4"/>
  <c r="I173" i="4" s="1"/>
  <c r="N173" i="4" s="1"/>
  <c r="H172" i="4"/>
  <c r="G172" i="4"/>
  <c r="I172" i="4" s="1"/>
  <c r="N172" i="4" s="1"/>
  <c r="H171" i="4"/>
  <c r="G171" i="4"/>
  <c r="I171" i="4" s="1"/>
  <c r="N171" i="4" s="1"/>
  <c r="H162" i="4"/>
  <c r="G162" i="4"/>
  <c r="I162" i="4" s="1"/>
  <c r="N162" i="4" s="1"/>
  <c r="H161" i="4"/>
  <c r="G161" i="4"/>
  <c r="I161" i="4" s="1"/>
  <c r="N161" i="4" s="1"/>
  <c r="H160" i="4"/>
  <c r="G160" i="4"/>
  <c r="I160" i="4" s="1"/>
  <c r="N160" i="4" s="1"/>
  <c r="H159" i="4"/>
  <c r="G159" i="4"/>
  <c r="I159" i="4" s="1"/>
  <c r="N159" i="4" s="1"/>
  <c r="H158" i="4"/>
  <c r="G158" i="4"/>
  <c r="I158" i="4" s="1"/>
  <c r="N158" i="4" s="1"/>
  <c r="H157" i="4"/>
  <c r="G157" i="4"/>
  <c r="I157" i="4" s="1"/>
  <c r="N157" i="4" s="1"/>
  <c r="H156" i="4"/>
  <c r="G156" i="4"/>
  <c r="I156" i="4" s="1"/>
  <c r="N156" i="4" s="1"/>
  <c r="H155" i="4"/>
  <c r="G155" i="4"/>
  <c r="I155" i="4" s="1"/>
  <c r="N155" i="4" s="1"/>
  <c r="H154" i="4"/>
  <c r="G154" i="4"/>
  <c r="I154" i="4" s="1"/>
  <c r="N154" i="4" s="1"/>
  <c r="H153" i="4"/>
  <c r="G153" i="4"/>
  <c r="I153" i="4" s="1"/>
  <c r="N153" i="4" s="1"/>
  <c r="H152" i="4"/>
  <c r="G152" i="4"/>
  <c r="I152" i="4" s="1"/>
  <c r="N152" i="4" s="1"/>
  <c r="H151" i="4"/>
  <c r="G151" i="4"/>
  <c r="I151" i="4" s="1"/>
  <c r="N151" i="4" s="1"/>
  <c r="H150" i="4"/>
  <c r="G150" i="4"/>
  <c r="I150" i="4" s="1"/>
  <c r="N150" i="4" s="1"/>
  <c r="H149" i="4"/>
  <c r="G149" i="4"/>
  <c r="I149" i="4" s="1"/>
  <c r="N149" i="4" s="1"/>
  <c r="H148" i="4"/>
  <c r="G148" i="4"/>
  <c r="I148" i="4" s="1"/>
  <c r="N148" i="4" s="1"/>
  <c r="H147" i="4"/>
  <c r="G147" i="4"/>
  <c r="I147" i="4" s="1"/>
  <c r="N147" i="4" s="1"/>
  <c r="H139" i="4"/>
  <c r="G139" i="4"/>
  <c r="I139" i="4" s="1"/>
  <c r="N139" i="4" s="1"/>
  <c r="H138" i="4"/>
  <c r="G138" i="4"/>
  <c r="I138" i="4" s="1"/>
  <c r="N138" i="4" s="1"/>
  <c r="H137" i="4"/>
  <c r="G137" i="4"/>
  <c r="I137" i="4" s="1"/>
  <c r="N137" i="4" s="1"/>
  <c r="H136" i="4"/>
  <c r="G136" i="4"/>
  <c r="I136" i="4" s="1"/>
  <c r="N136" i="4" s="1"/>
  <c r="H135" i="4"/>
  <c r="G135" i="4"/>
  <c r="I135" i="4" s="1"/>
  <c r="N135" i="4" s="1"/>
  <c r="H134" i="4"/>
  <c r="G134" i="4"/>
  <c r="I134" i="4" s="1"/>
  <c r="N134" i="4" s="1"/>
  <c r="H133" i="4"/>
  <c r="G133" i="4"/>
  <c r="I133" i="4" s="1"/>
  <c r="N133" i="4" s="1"/>
  <c r="H132" i="4"/>
  <c r="G132" i="4"/>
  <c r="I132" i="4" s="1"/>
  <c r="N132" i="4" s="1"/>
  <c r="H131" i="4"/>
  <c r="G131" i="4"/>
  <c r="I131" i="4" s="1"/>
  <c r="N131" i="4" s="1"/>
  <c r="H130" i="4"/>
  <c r="G130" i="4"/>
  <c r="I130" i="4" s="1"/>
  <c r="N130" i="4" s="1"/>
  <c r="H129" i="4"/>
  <c r="G129" i="4"/>
  <c r="I129" i="4" s="1"/>
  <c r="N129" i="4" s="1"/>
  <c r="H128" i="4"/>
  <c r="G128" i="4"/>
  <c r="I128" i="4" s="1"/>
  <c r="N128" i="4" s="1"/>
  <c r="H127" i="4"/>
  <c r="G127" i="4"/>
  <c r="I127" i="4" s="1"/>
  <c r="N127" i="4" s="1"/>
  <c r="H126" i="4"/>
  <c r="G126" i="4"/>
  <c r="I126" i="4" s="1"/>
  <c r="N126" i="4" s="1"/>
  <c r="H125" i="4"/>
  <c r="G125" i="4"/>
  <c r="I125" i="4" s="1"/>
  <c r="N125" i="4" s="1"/>
  <c r="H124" i="4"/>
  <c r="G124" i="4"/>
  <c r="I124" i="4" s="1"/>
  <c r="N124" i="4" s="1"/>
  <c r="H115" i="4"/>
  <c r="G115" i="4"/>
  <c r="I115" i="4" s="1"/>
  <c r="N115" i="4" s="1"/>
  <c r="H114" i="4"/>
  <c r="G114" i="4"/>
  <c r="I114" i="4" s="1"/>
  <c r="N114" i="4" s="1"/>
  <c r="H113" i="4"/>
  <c r="G113" i="4"/>
  <c r="I113" i="4" s="1"/>
  <c r="N113" i="4" s="1"/>
  <c r="H112" i="4"/>
  <c r="G112" i="4"/>
  <c r="I112" i="4" s="1"/>
  <c r="N112" i="4" s="1"/>
  <c r="H111" i="4"/>
  <c r="G111" i="4"/>
  <c r="I111" i="4" s="1"/>
  <c r="N111" i="4" s="1"/>
  <c r="H110" i="4"/>
  <c r="G110" i="4"/>
  <c r="I110" i="4" s="1"/>
  <c r="N110" i="4" s="1"/>
  <c r="H109" i="4"/>
  <c r="G109" i="4"/>
  <c r="I109" i="4" s="1"/>
  <c r="N109" i="4" s="1"/>
  <c r="H108" i="4"/>
  <c r="G108" i="4"/>
  <c r="I108" i="4" s="1"/>
  <c r="N108" i="4" s="1"/>
  <c r="H107" i="4"/>
  <c r="G107" i="4"/>
  <c r="I107" i="4" s="1"/>
  <c r="N107" i="4" s="1"/>
  <c r="H106" i="4"/>
  <c r="G106" i="4"/>
  <c r="I106" i="4" s="1"/>
  <c r="N106" i="4" s="1"/>
  <c r="H105" i="4"/>
  <c r="G105" i="4"/>
  <c r="I105" i="4" s="1"/>
  <c r="N105" i="4" s="1"/>
  <c r="H104" i="4"/>
  <c r="G104" i="4"/>
  <c r="I104" i="4" s="1"/>
  <c r="N104" i="4" s="1"/>
  <c r="H103" i="4"/>
  <c r="G103" i="4"/>
  <c r="I103" i="4" s="1"/>
  <c r="N103" i="4" s="1"/>
  <c r="H102" i="4"/>
  <c r="G102" i="4"/>
  <c r="I102" i="4" s="1"/>
  <c r="N102" i="4" s="1"/>
  <c r="H101" i="4"/>
  <c r="G101" i="4"/>
  <c r="I101" i="4" s="1"/>
  <c r="N101" i="4" s="1"/>
  <c r="H100" i="4"/>
  <c r="G100" i="4"/>
  <c r="I100" i="4" s="1"/>
  <c r="N100" i="4" s="1"/>
  <c r="H92" i="4"/>
  <c r="G92" i="4"/>
  <c r="I92" i="4" s="1"/>
  <c r="N92" i="4" s="1"/>
  <c r="H91" i="4"/>
  <c r="G91" i="4"/>
  <c r="I91" i="4" s="1"/>
  <c r="N91" i="4" s="1"/>
  <c r="H90" i="4"/>
  <c r="G90" i="4"/>
  <c r="I90" i="4" s="1"/>
  <c r="N90" i="4" s="1"/>
  <c r="H89" i="4"/>
  <c r="G89" i="4"/>
  <c r="I89" i="4" s="1"/>
  <c r="N89" i="4" s="1"/>
  <c r="H88" i="4"/>
  <c r="G88" i="4"/>
  <c r="I88" i="4" s="1"/>
  <c r="N88" i="4" s="1"/>
  <c r="H87" i="4"/>
  <c r="G87" i="4"/>
  <c r="I87" i="4" s="1"/>
  <c r="N87" i="4" s="1"/>
  <c r="H86" i="4"/>
  <c r="G86" i="4"/>
  <c r="I86" i="4" s="1"/>
  <c r="N86" i="4" s="1"/>
  <c r="H85" i="4"/>
  <c r="G85" i="4"/>
  <c r="I85" i="4" s="1"/>
  <c r="N85" i="4" s="1"/>
  <c r="H84" i="4"/>
  <c r="G84" i="4"/>
  <c r="I84" i="4" s="1"/>
  <c r="N84" i="4" s="1"/>
  <c r="H83" i="4"/>
  <c r="G83" i="4"/>
  <c r="I83" i="4" s="1"/>
  <c r="N83" i="4" s="1"/>
  <c r="H82" i="4"/>
  <c r="G82" i="4"/>
  <c r="I82" i="4" s="1"/>
  <c r="N82" i="4" s="1"/>
  <c r="H81" i="4"/>
  <c r="G81" i="4"/>
  <c r="I81" i="4" s="1"/>
  <c r="N81" i="4" s="1"/>
  <c r="H80" i="4"/>
  <c r="G80" i="4"/>
  <c r="I80" i="4" s="1"/>
  <c r="N80" i="4" s="1"/>
  <c r="H79" i="4"/>
  <c r="G79" i="4"/>
  <c r="I79" i="4" s="1"/>
  <c r="N79" i="4" s="1"/>
  <c r="H78" i="4"/>
  <c r="G78" i="4"/>
  <c r="I78" i="4" s="1"/>
  <c r="N78" i="4" s="1"/>
  <c r="H77" i="4"/>
  <c r="G77" i="4"/>
  <c r="I77" i="4" s="1"/>
  <c r="N77" i="4" s="1"/>
  <c r="H68" i="4"/>
  <c r="G68" i="4"/>
  <c r="I68" i="4" s="1"/>
  <c r="N68" i="4" s="1"/>
  <c r="H67" i="4"/>
  <c r="G67" i="4"/>
  <c r="I67" i="4" s="1"/>
  <c r="N67" i="4" s="1"/>
  <c r="H66" i="4"/>
  <c r="G66" i="4"/>
  <c r="I66" i="4" s="1"/>
  <c r="N66" i="4" s="1"/>
  <c r="H65" i="4"/>
  <c r="G65" i="4"/>
  <c r="I65" i="4" s="1"/>
  <c r="N65" i="4" s="1"/>
  <c r="H64" i="4"/>
  <c r="G64" i="4"/>
  <c r="I64" i="4" s="1"/>
  <c r="N64" i="4" s="1"/>
  <c r="H63" i="4"/>
  <c r="G63" i="4"/>
  <c r="I63" i="4" s="1"/>
  <c r="N63" i="4" s="1"/>
  <c r="H62" i="4"/>
  <c r="G62" i="4"/>
  <c r="I62" i="4" s="1"/>
  <c r="N62" i="4" s="1"/>
  <c r="H61" i="4"/>
  <c r="G61" i="4"/>
  <c r="I61" i="4" s="1"/>
  <c r="N61" i="4" s="1"/>
  <c r="H60" i="4"/>
  <c r="G60" i="4"/>
  <c r="I60" i="4" s="1"/>
  <c r="N60" i="4" s="1"/>
  <c r="H59" i="4"/>
  <c r="G59" i="4"/>
  <c r="I59" i="4" s="1"/>
  <c r="N59" i="4" s="1"/>
  <c r="H58" i="4"/>
  <c r="G58" i="4"/>
  <c r="I58" i="4" s="1"/>
  <c r="N58" i="4" s="1"/>
  <c r="H57" i="4"/>
  <c r="G57" i="4"/>
  <c r="I57" i="4" s="1"/>
  <c r="N57" i="4" s="1"/>
  <c r="H56" i="4"/>
  <c r="G56" i="4"/>
  <c r="I56" i="4" s="1"/>
  <c r="N56" i="4" s="1"/>
  <c r="H55" i="4"/>
  <c r="G55" i="4"/>
  <c r="I55" i="4" s="1"/>
  <c r="N55" i="4" s="1"/>
  <c r="H54" i="4"/>
  <c r="G54" i="4"/>
  <c r="I54" i="4" s="1"/>
  <c r="N54" i="4" s="1"/>
  <c r="H53" i="4"/>
  <c r="G53" i="4"/>
  <c r="I53" i="4" s="1"/>
  <c r="N53" i="4" s="1"/>
  <c r="H45" i="4"/>
  <c r="G45" i="4"/>
  <c r="I45" i="4" s="1"/>
  <c r="N45" i="4" s="1"/>
  <c r="H44" i="4"/>
  <c r="G44" i="4"/>
  <c r="I44" i="4" s="1"/>
  <c r="N44" i="4" s="1"/>
  <c r="H43" i="4"/>
  <c r="G43" i="4"/>
  <c r="I43" i="4" s="1"/>
  <c r="N43" i="4" s="1"/>
  <c r="H42" i="4"/>
  <c r="G42" i="4"/>
  <c r="I42" i="4" s="1"/>
  <c r="N42" i="4" s="1"/>
  <c r="H41" i="4"/>
  <c r="G41" i="4"/>
  <c r="I41" i="4" s="1"/>
  <c r="N41" i="4" s="1"/>
  <c r="H40" i="4"/>
  <c r="G40" i="4"/>
  <c r="I40" i="4" s="1"/>
  <c r="N40" i="4" s="1"/>
  <c r="H39" i="4"/>
  <c r="G39" i="4"/>
  <c r="I39" i="4" s="1"/>
  <c r="N39" i="4" s="1"/>
  <c r="H38" i="4"/>
  <c r="G38" i="4"/>
  <c r="I38" i="4" s="1"/>
  <c r="N38" i="4" s="1"/>
  <c r="H37" i="4"/>
  <c r="G37" i="4"/>
  <c r="I37" i="4" s="1"/>
  <c r="N37" i="4" s="1"/>
  <c r="H36" i="4"/>
  <c r="G36" i="4"/>
  <c r="I36" i="4" s="1"/>
  <c r="N36" i="4" s="1"/>
  <c r="H35" i="4"/>
  <c r="G35" i="4"/>
  <c r="I35" i="4" s="1"/>
  <c r="N35" i="4" s="1"/>
  <c r="H34" i="4"/>
  <c r="G34" i="4"/>
  <c r="I34" i="4" s="1"/>
  <c r="N34" i="4" s="1"/>
  <c r="H33" i="4"/>
  <c r="G33" i="4"/>
  <c r="I33" i="4" s="1"/>
  <c r="N33" i="4" s="1"/>
  <c r="H32" i="4"/>
  <c r="G32" i="4"/>
  <c r="I32" i="4" s="1"/>
  <c r="N32" i="4" s="1"/>
  <c r="H31" i="4"/>
  <c r="G31" i="4"/>
  <c r="I31" i="4" s="1"/>
  <c r="N31" i="4" s="1"/>
  <c r="H30" i="4"/>
  <c r="G30" i="4"/>
  <c r="I30" i="4" s="1"/>
  <c r="N30" i="4" s="1"/>
  <c r="H14" i="4"/>
  <c r="H15" i="4"/>
  <c r="H16" i="4"/>
  <c r="H17" i="4"/>
  <c r="H18" i="4"/>
  <c r="H19" i="4"/>
  <c r="H20" i="4"/>
  <c r="H21" i="4"/>
  <c r="G14" i="4"/>
  <c r="I14" i="4" s="1"/>
  <c r="N14" i="4" s="1"/>
  <c r="G15" i="4"/>
  <c r="I15" i="4" s="1"/>
  <c r="N15" i="4" s="1"/>
  <c r="G16" i="4"/>
  <c r="I16" i="4" s="1"/>
  <c r="N16" i="4" s="1"/>
  <c r="G17" i="4"/>
  <c r="I17" i="4" s="1"/>
  <c r="N17" i="4" s="1"/>
  <c r="G18" i="4"/>
  <c r="I18" i="4" s="1"/>
  <c r="N18" i="4" s="1"/>
  <c r="G19" i="4"/>
  <c r="I19" i="4" s="1"/>
  <c r="N19" i="4" s="1"/>
  <c r="G20" i="4"/>
  <c r="I20" i="4" s="1"/>
  <c r="N20" i="4" s="1"/>
  <c r="G21" i="4"/>
  <c r="I21" i="4" s="1"/>
  <c r="N21" i="4" s="1"/>
  <c r="H13" i="4" l="1"/>
  <c r="G13" i="4"/>
  <c r="I13" i="4" s="1"/>
  <c r="N13" i="4" s="1"/>
  <c r="H12" i="4"/>
  <c r="G12" i="4"/>
  <c r="I12" i="4" s="1"/>
  <c r="N12" i="4" s="1"/>
  <c r="H11" i="4"/>
  <c r="G11" i="4"/>
  <c r="I11" i="4" s="1"/>
  <c r="N11" i="4" s="1"/>
  <c r="H10" i="4"/>
  <c r="G10" i="4"/>
  <c r="I10" i="4" s="1"/>
  <c r="N10" i="4" s="1"/>
  <c r="H9" i="4"/>
  <c r="G9" i="4"/>
  <c r="I9" i="4" s="1"/>
  <c r="N9" i="4" s="1"/>
  <c r="H8" i="4"/>
  <c r="G8" i="4"/>
  <c r="I8" i="4" s="1"/>
  <c r="N8" i="4" s="1"/>
  <c r="H7" i="4"/>
  <c r="G7" i="4"/>
  <c r="I7" i="4" s="1"/>
  <c r="N7" i="4" s="1"/>
  <c r="H6" i="4"/>
  <c r="G6" i="4"/>
  <c r="I6" i="4" s="1"/>
  <c r="N6" i="4" s="1"/>
  <c r="H7" i="1"/>
  <c r="H8" i="1"/>
  <c r="H9" i="1"/>
  <c r="H10" i="1"/>
  <c r="H11" i="1"/>
  <c r="H12" i="1"/>
  <c r="H13" i="1"/>
  <c r="H6" i="1"/>
  <c r="G7" i="1"/>
  <c r="I7" i="1" s="1"/>
  <c r="N7" i="1" s="1"/>
  <c r="G8" i="1"/>
  <c r="I8" i="1" s="1"/>
  <c r="N8" i="1" s="1"/>
  <c r="G9" i="1"/>
  <c r="I9" i="1" s="1"/>
  <c r="N9" i="1" s="1"/>
  <c r="G10" i="1"/>
  <c r="I10" i="1" s="1"/>
  <c r="N10" i="1" s="1"/>
  <c r="G11" i="1"/>
  <c r="I11" i="1" s="1"/>
  <c r="N11" i="1" s="1"/>
  <c r="G12" i="1"/>
  <c r="I12" i="1" s="1"/>
  <c r="N12" i="1" s="1"/>
  <c r="G13" i="1"/>
  <c r="I13" i="1" s="1"/>
  <c r="N13" i="1" s="1"/>
  <c r="G6" i="1"/>
  <c r="I6" i="1" s="1"/>
  <c r="N6" i="1" s="1"/>
</calcChain>
</file>

<file path=xl/sharedStrings.xml><?xml version="1.0" encoding="utf-8"?>
<sst xmlns="http://schemas.openxmlformats.org/spreadsheetml/2006/main" count="2846" uniqueCount="190">
  <si>
    <t>PTH</t>
  </si>
  <si>
    <t>MARK SCHEDULE</t>
  </si>
  <si>
    <t>GRADE:12A</t>
  </si>
  <si>
    <t>ENGLISH</t>
  </si>
  <si>
    <t>C1</t>
  </si>
  <si>
    <t>C2</t>
  </si>
  <si>
    <t>C3</t>
  </si>
  <si>
    <t>TOT</t>
  </si>
  <si>
    <t>CASS</t>
  </si>
  <si>
    <t>EXAM</t>
  </si>
  <si>
    <t>YMARK</t>
  </si>
  <si>
    <t>CJ VISAGIE</t>
  </si>
  <si>
    <t>YONG-LEE</t>
  </si>
  <si>
    <t>GERT</t>
  </si>
  <si>
    <t>TALITHA</t>
  </si>
  <si>
    <t>FERREIRA</t>
  </si>
  <si>
    <t>JAN BOSMAN</t>
  </si>
  <si>
    <t>ROTRY VAN BERGEN</t>
  </si>
  <si>
    <t>CINDIE JANSE</t>
  </si>
  <si>
    <t>LIFE ORIENTATION</t>
  </si>
  <si>
    <t>INFORMATION TECHNOLOGY</t>
  </si>
  <si>
    <t>AFRIKAANS</t>
  </si>
  <si>
    <t>MATHEMATICS</t>
  </si>
  <si>
    <t>MATHEMATICS 3</t>
  </si>
  <si>
    <t>ADDITIONAL MATHEMATICS</t>
  </si>
  <si>
    <t>ELECTRICITY</t>
  </si>
  <si>
    <t>PHYSICAL SCIENCES</t>
  </si>
  <si>
    <t>GRADE:10B</t>
  </si>
  <si>
    <t>SITHEMBILE</t>
  </si>
  <si>
    <t>MELLITA-BHYAT</t>
  </si>
  <si>
    <t>RAESAAH</t>
  </si>
  <si>
    <t>NJABULO</t>
  </si>
  <si>
    <t>SILKE BOHMER</t>
  </si>
  <si>
    <t>HENDRIETTE</t>
  </si>
  <si>
    <t>BURGER KRIEL</t>
  </si>
  <si>
    <t>HANNES</t>
  </si>
  <si>
    <t>SIPHIWE</t>
  </si>
  <si>
    <t>MONIQUE MARTIS</t>
  </si>
  <si>
    <t>NICOLE</t>
  </si>
  <si>
    <t>FORTUNE</t>
  </si>
  <si>
    <t>ISSAC</t>
  </si>
  <si>
    <t>SOLLETE</t>
  </si>
  <si>
    <t>NAVENE</t>
  </si>
  <si>
    <t>JESSICA</t>
  </si>
  <si>
    <t>LO</t>
  </si>
  <si>
    <t>CAT</t>
  </si>
  <si>
    <t>GEOGRAPHY</t>
  </si>
  <si>
    <t>BUSINESS STUDIES</t>
  </si>
  <si>
    <t>GRADE:12C</t>
  </si>
  <si>
    <t>ZAKIRAAH</t>
  </si>
  <si>
    <t>SAMKELISIWE</t>
  </si>
  <si>
    <t>KHANYISILE</t>
  </si>
  <si>
    <t>VANECIA</t>
  </si>
  <si>
    <t>GABRIELLA</t>
  </si>
  <si>
    <t>KAGISO</t>
  </si>
  <si>
    <t>MPHO</t>
  </si>
  <si>
    <t>DEIDRI</t>
  </si>
  <si>
    <t xml:space="preserve">SIMPHIWE </t>
  </si>
  <si>
    <t>CHRISTELLE</t>
  </si>
  <si>
    <t>AJ VOSTER</t>
  </si>
  <si>
    <t>LERATO</t>
  </si>
  <si>
    <t>ISABELLA</t>
  </si>
  <si>
    <t>LIFE SCIENCE</t>
  </si>
  <si>
    <t>GRADE:12D</t>
  </si>
  <si>
    <t>KWATI</t>
  </si>
  <si>
    <t>YOUSFF</t>
  </si>
  <si>
    <t>LORENICA</t>
  </si>
  <si>
    <t>MIEKE</t>
  </si>
  <si>
    <t>ETHAN</t>
  </si>
  <si>
    <t>WERNE</t>
  </si>
  <si>
    <t>THEO JONKE</t>
  </si>
  <si>
    <t>SIPHESIHLE</t>
  </si>
  <si>
    <t>PHINDILE</t>
  </si>
  <si>
    <t>CORNEL</t>
  </si>
  <si>
    <t>EDWARD</t>
  </si>
  <si>
    <t>KRYSZTOF</t>
  </si>
  <si>
    <t>MBALI</t>
  </si>
  <si>
    <t>TUMELO</t>
  </si>
  <si>
    <t>ZINOBIA</t>
  </si>
  <si>
    <t>MOTTOMAN</t>
  </si>
  <si>
    <t xml:space="preserve">LO </t>
  </si>
  <si>
    <t xml:space="preserve">ELECTRICITY </t>
  </si>
  <si>
    <t>GRADE:12E</t>
  </si>
  <si>
    <t>SONJA MEYER</t>
  </si>
  <si>
    <t>MARLENE</t>
  </si>
  <si>
    <t>HEROLD</t>
  </si>
  <si>
    <t>ELZANIE</t>
  </si>
  <si>
    <t>ELSJIE</t>
  </si>
  <si>
    <t>ELESHNA</t>
  </si>
  <si>
    <t>ANNEMIE</t>
  </si>
  <si>
    <t>STACY</t>
  </si>
  <si>
    <t>RIAN</t>
  </si>
  <si>
    <t>PHILILE</t>
  </si>
  <si>
    <t>ELIZ-MARIE</t>
  </si>
  <si>
    <t>ANTON</t>
  </si>
  <si>
    <t>SANDY</t>
  </si>
  <si>
    <t>ZECKS</t>
  </si>
  <si>
    <t>BERNARD</t>
  </si>
  <si>
    <t>SIBUSISO</t>
  </si>
  <si>
    <t>KGADI</t>
  </si>
  <si>
    <t>MARIUSZ</t>
  </si>
  <si>
    <t>NKOSANA</t>
  </si>
  <si>
    <t>SANETTE</t>
  </si>
  <si>
    <t>CAMERON</t>
  </si>
  <si>
    <t>KYLA</t>
  </si>
  <si>
    <t>KELVIN</t>
  </si>
  <si>
    <t>SOONYBOY</t>
  </si>
  <si>
    <t>MATHEMATICAL LITERACY</t>
  </si>
  <si>
    <t>COMPURER GRAPHICS</t>
  </si>
  <si>
    <t>GRAPHIC DESIGN</t>
  </si>
  <si>
    <t>GRADE:12F</t>
  </si>
  <si>
    <t>LOUIS</t>
  </si>
  <si>
    <t xml:space="preserve"> NELLY</t>
  </si>
  <si>
    <t>LINDOKUHLE</t>
  </si>
  <si>
    <t>MICHELLE JANSEN</t>
  </si>
  <si>
    <t>ELLE</t>
  </si>
  <si>
    <t>CANDITH</t>
  </si>
  <si>
    <t>LAWRENCE</t>
  </si>
  <si>
    <t>LEVI</t>
  </si>
  <si>
    <t>ZAMA</t>
  </si>
  <si>
    <t>LUHAN</t>
  </si>
  <si>
    <t>JERRY</t>
  </si>
  <si>
    <t>SIMONE</t>
  </si>
  <si>
    <t>CIVIL TECHNOLOGY</t>
  </si>
  <si>
    <t>TOURISM</t>
  </si>
  <si>
    <t>TASMIYA</t>
  </si>
  <si>
    <t>BOITUMELO</t>
  </si>
  <si>
    <t>MXOLISI</t>
  </si>
  <si>
    <t>SENZILE</t>
  </si>
  <si>
    <t>ZAARA</t>
  </si>
  <si>
    <t>FRANCOIS</t>
  </si>
  <si>
    <t>ACCOUNTING</t>
  </si>
  <si>
    <t>GRADE:12H</t>
  </si>
  <si>
    <t>JJ</t>
  </si>
  <si>
    <t xml:space="preserve">VUSI </t>
  </si>
  <si>
    <t>DANAE</t>
  </si>
  <si>
    <t>ZAKHELE</t>
  </si>
  <si>
    <t>DEANCA</t>
  </si>
  <si>
    <t>QHAWE</t>
  </si>
  <si>
    <t>RIANDI</t>
  </si>
  <si>
    <t>AGRICULTURAL SCIENCES</t>
  </si>
  <si>
    <t>MECHANICS</t>
  </si>
  <si>
    <t>GRADE:12I</t>
  </si>
  <si>
    <t>LIANE</t>
  </si>
  <si>
    <t>ELEKTRA</t>
  </si>
  <si>
    <t>LUANE</t>
  </si>
  <si>
    <t>LIVINGSTONE</t>
  </si>
  <si>
    <t>CLIVE</t>
  </si>
  <si>
    <t>MARYKE</t>
  </si>
  <si>
    <t>KARLIEN</t>
  </si>
  <si>
    <t>MIA</t>
  </si>
  <si>
    <t>SHERMEEZ</t>
  </si>
  <si>
    <t>CORNE</t>
  </si>
  <si>
    <t>RAYMOND</t>
  </si>
  <si>
    <t>CHANTE-LEE</t>
  </si>
  <si>
    <t>JOHN</t>
  </si>
  <si>
    <t>RW</t>
  </si>
  <si>
    <t>JAYDEN</t>
  </si>
  <si>
    <t>CAYDEE</t>
  </si>
  <si>
    <t>DRAMA</t>
  </si>
  <si>
    <t>MUSIC</t>
  </si>
  <si>
    <t>EGD</t>
  </si>
  <si>
    <t>PRETORIA HIGH SCHOOL</t>
  </si>
  <si>
    <t>COMPUTER APPLICATION TECHNOLOGY</t>
  </si>
  <si>
    <t>LIFE SCIENCES</t>
  </si>
  <si>
    <t>PHYSICAL SCIENCE</t>
  </si>
  <si>
    <t>TOTAL</t>
  </si>
  <si>
    <t>AVERAGE</t>
  </si>
  <si>
    <t>ENGINEERING GRAPHICS &amp; DESIGN</t>
  </si>
  <si>
    <t>MATHEMATICAL LITREACY</t>
  </si>
  <si>
    <t>TERM 1</t>
  </si>
  <si>
    <t>RANK</t>
  </si>
  <si>
    <t>LEARNERS</t>
  </si>
  <si>
    <t>ELECTRICTY</t>
  </si>
  <si>
    <t>COMPUTER GRAPHICS</t>
  </si>
  <si>
    <t>JUNE EXAMINATION/TERM 2</t>
  </si>
  <si>
    <t>EXAMINATION</t>
  </si>
  <si>
    <t>GRADE:10           EXAM</t>
  </si>
  <si>
    <t>GRADE:11A</t>
  </si>
  <si>
    <t>ARTS</t>
  </si>
  <si>
    <t>YEAR MARK</t>
  </si>
  <si>
    <t>GRADE:12ABCDFGH</t>
  </si>
  <si>
    <t>TRIAL EXAMINATION/TERM: 3</t>
  </si>
  <si>
    <t>GRADE:12           TERM 1</t>
  </si>
  <si>
    <t>GRADE:12           JUNE EXAM</t>
  </si>
  <si>
    <t>GRADE:12           TERM: 3</t>
  </si>
  <si>
    <t>GRADE:12           C.A.S.S</t>
  </si>
  <si>
    <t>C.A.S.S</t>
  </si>
  <si>
    <t>GRADE:12           YEAR MARK</t>
  </si>
  <si>
    <t>DISTINCTIONS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</si>
</sst>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Lucida Console"/>
      <family val="3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7"/>
      <name val="Lucida Console"/>
      <family val="3"/>
    </font>
    <font>
      <sz val="8"/>
      <name val="Calibri"/>
      <family val="2"/>
      <scheme val="minor"/>
    </font>
    <font>
      <sz val="18"/>
      <name val="Arial"/>
      <family val="2"/>
    </font>
    <font>
      <sz val="7"/>
      <color indexed="10"/>
      <name val="Times New Roman"/>
      <family val="1"/>
    </font>
    <font>
      <sz val="7"/>
      <name val="Times New Roman"/>
      <family val="1"/>
    </font>
    <font>
      <sz val="7"/>
      <color indexed="10"/>
      <name val="Lucida Console"/>
      <family val="3"/>
    </font>
    <font>
      <sz val="6"/>
      <name val="Times New Roman"/>
      <family val="1"/>
    </font>
    <font>
      <sz val="6"/>
      <color indexed="10"/>
      <name val="Times New Roman"/>
      <family val="1"/>
    </font>
    <font>
      <sz val="7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libri"/>
      <family val="2"/>
      <scheme val="minor"/>
    </font>
    <font>
      <sz val="6"/>
      <name val="Lucida Console"/>
      <family val="3"/>
    </font>
    <font>
      <sz val="6"/>
      <color indexed="10"/>
      <name val="Lucida Console"/>
      <family val="3"/>
    </font>
    <font>
      <b/>
      <sz val="6"/>
      <name val="Lucida Console"/>
      <family val="3"/>
    </font>
    <font>
      <sz val="6"/>
      <name val="Calibri"/>
      <family val="2"/>
      <scheme val="minor"/>
    </font>
    <font>
      <sz val="16"/>
      <name val="Arial"/>
      <family val="2"/>
    </font>
    <font>
      <sz val="5"/>
      <name val="Times New Roman"/>
      <family val="1"/>
    </font>
    <font>
      <b/>
      <sz val="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164" fontId="11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textRotation="90"/>
    </xf>
    <xf numFmtId="16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3" fillId="0" borderId="0" xfId="0" applyNumberFormat="1" applyFont="1"/>
    <xf numFmtId="164" fontId="13" fillId="0" borderId="0" xfId="0" applyNumberFormat="1" applyFont="1"/>
    <xf numFmtId="0" fontId="10" fillId="3" borderId="0" xfId="0" applyFont="1" applyFill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164" fontId="13" fillId="0" borderId="0" xfId="0" applyNumberFormat="1" applyFont="1" applyAlignment="1">
      <alignment horizontal="center" vertical="center" textRotation="90"/>
    </xf>
    <xf numFmtId="164" fontId="16" fillId="0" borderId="0" xfId="0" applyNumberFormat="1" applyFont="1"/>
    <xf numFmtId="0" fontId="7" fillId="0" borderId="0" xfId="0" applyFont="1" applyAlignment="1">
      <alignment horizontal="center" vertical="center" textRotation="90"/>
    </xf>
    <xf numFmtId="164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 vertical="center" textRotation="90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 textRotation="90"/>
    </xf>
    <xf numFmtId="164" fontId="14" fillId="0" borderId="0" xfId="0" applyNumberFormat="1" applyFont="1" applyAlignment="1">
      <alignment horizontal="center"/>
    </xf>
    <xf numFmtId="164" fontId="17" fillId="0" borderId="0" xfId="0" applyNumberFormat="1" applyFont="1"/>
    <xf numFmtId="0" fontId="20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/>
    <xf numFmtId="0" fontId="18" fillId="0" borderId="0" xfId="0" applyFont="1" applyAlignment="1">
      <alignment horizontal="center" vertical="center" textRotation="90"/>
    </xf>
    <xf numFmtId="1" fontId="13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 textRotation="90"/>
    </xf>
    <xf numFmtId="164" fontId="1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textRotation="90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11">
    <cellStyle name="Normal" xfId="0" builtinId="0"/>
    <cellStyle name="Normal 10" xfId="9"/>
    <cellStyle name="Normal 11" xfId="1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76200</xdr:colOff>
      <xdr:row>5</xdr:row>
      <xdr:rowOff>19049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3975" cy="97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79"/>
  <sheetViews>
    <sheetView topLeftCell="A162" workbookViewId="0">
      <selection activeCell="K167" sqref="K167:K179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48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8" t="s">
        <v>59</v>
      </c>
      <c r="C6" s="4">
        <v>62</v>
      </c>
      <c r="D6" s="4">
        <v>55</v>
      </c>
      <c r="E6" s="4">
        <v>53</v>
      </c>
      <c r="F6" s="5"/>
      <c r="G6" s="6">
        <f>SUM(C6:E6)</f>
        <v>170</v>
      </c>
      <c r="H6" s="4">
        <f>AVERAGE(C6:E6)</f>
        <v>56.666666666666664</v>
      </c>
      <c r="I6" s="4">
        <f>G6/12</f>
        <v>14.166666666666666</v>
      </c>
      <c r="J6" s="5"/>
      <c r="K6" s="4">
        <v>55</v>
      </c>
      <c r="L6" s="4">
        <f>K6*3</f>
        <v>165</v>
      </c>
      <c r="M6" s="4">
        <f>L6/4</f>
        <v>41.25</v>
      </c>
      <c r="N6" s="4">
        <f>M6+I6</f>
        <v>55.416666666666664</v>
      </c>
    </row>
    <row r="7" spans="1:15" x14ac:dyDescent="0.3">
      <c r="A7" s="2">
        <v>2</v>
      </c>
      <c r="B7" s="8" t="s">
        <v>58</v>
      </c>
      <c r="C7" s="4">
        <v>53</v>
      </c>
      <c r="D7" s="4">
        <v>53</v>
      </c>
      <c r="E7" s="4">
        <v>69</v>
      </c>
      <c r="F7" s="5"/>
      <c r="G7" s="6">
        <f t="shared" ref="G7:G18" si="0">SUM(C7:E7)</f>
        <v>175</v>
      </c>
      <c r="H7" s="4">
        <f t="shared" ref="H7:H18" si="1">AVERAGE(C7:E7)</f>
        <v>58.333333333333336</v>
      </c>
      <c r="I7" s="4">
        <f t="shared" ref="I7:I18" si="2">G7/12</f>
        <v>14.583333333333334</v>
      </c>
      <c r="J7" s="5"/>
      <c r="K7" s="4">
        <v>52</v>
      </c>
      <c r="L7" s="4">
        <f t="shared" ref="L7:L18" si="3">K7*3</f>
        <v>156</v>
      </c>
      <c r="M7" s="4">
        <f t="shared" ref="M7:M18" si="4">L7/4</f>
        <v>39</v>
      </c>
      <c r="N7" s="4">
        <f t="shared" ref="N7:N18" si="5">M7+I7</f>
        <v>53.583333333333336</v>
      </c>
    </row>
    <row r="8" spans="1:15" x14ac:dyDescent="0.3">
      <c r="A8" s="2">
        <v>3</v>
      </c>
      <c r="B8" s="8" t="s">
        <v>56</v>
      </c>
      <c r="C8" s="4">
        <v>58</v>
      </c>
      <c r="D8" s="4">
        <v>49</v>
      </c>
      <c r="E8" s="4">
        <v>52</v>
      </c>
      <c r="F8" s="5"/>
      <c r="G8" s="6">
        <f t="shared" si="0"/>
        <v>159</v>
      </c>
      <c r="H8" s="4">
        <f t="shared" si="1"/>
        <v>53</v>
      </c>
      <c r="I8" s="4">
        <f t="shared" si="2"/>
        <v>13.25</v>
      </c>
      <c r="J8" s="5"/>
      <c r="K8" s="4">
        <v>58</v>
      </c>
      <c r="L8" s="4">
        <f t="shared" si="3"/>
        <v>174</v>
      </c>
      <c r="M8" s="4">
        <f t="shared" si="4"/>
        <v>43.5</v>
      </c>
      <c r="N8" s="4">
        <f t="shared" si="5"/>
        <v>56.75</v>
      </c>
    </row>
    <row r="9" spans="1:15" x14ac:dyDescent="0.3">
      <c r="A9" s="2">
        <v>4</v>
      </c>
      <c r="B9" s="8" t="s">
        <v>53</v>
      </c>
      <c r="C9" s="4">
        <v>81</v>
      </c>
      <c r="D9" s="4">
        <v>77</v>
      </c>
      <c r="E9" s="4">
        <v>76</v>
      </c>
      <c r="F9" s="5"/>
      <c r="G9" s="6">
        <f t="shared" si="0"/>
        <v>234</v>
      </c>
      <c r="H9" s="4">
        <f t="shared" si="1"/>
        <v>78</v>
      </c>
      <c r="I9" s="4">
        <f t="shared" si="2"/>
        <v>19.5</v>
      </c>
      <c r="J9" s="5"/>
      <c r="K9" s="4">
        <v>80</v>
      </c>
      <c r="L9" s="4">
        <f t="shared" si="3"/>
        <v>240</v>
      </c>
      <c r="M9" s="4">
        <f t="shared" si="4"/>
        <v>60</v>
      </c>
      <c r="N9" s="4">
        <f t="shared" si="5"/>
        <v>79.5</v>
      </c>
    </row>
    <row r="10" spans="1:15" x14ac:dyDescent="0.3">
      <c r="A10" s="2">
        <v>5</v>
      </c>
      <c r="B10" s="8" t="s">
        <v>61</v>
      </c>
      <c r="C10" s="4">
        <v>80</v>
      </c>
      <c r="D10" s="4">
        <v>79</v>
      </c>
      <c r="E10" s="4">
        <v>83</v>
      </c>
      <c r="F10" s="5"/>
      <c r="G10" s="6">
        <f t="shared" si="0"/>
        <v>242</v>
      </c>
      <c r="H10" s="4">
        <f t="shared" si="1"/>
        <v>80.666666666666671</v>
      </c>
      <c r="I10" s="4">
        <f t="shared" si="2"/>
        <v>20.166666666666668</v>
      </c>
      <c r="J10" s="5"/>
      <c r="K10" s="4">
        <v>80</v>
      </c>
      <c r="L10" s="4">
        <f t="shared" si="3"/>
        <v>240</v>
      </c>
      <c r="M10" s="4">
        <f t="shared" si="4"/>
        <v>60</v>
      </c>
      <c r="N10" s="4">
        <f t="shared" si="5"/>
        <v>80.166666666666671</v>
      </c>
    </row>
    <row r="11" spans="1:15" x14ac:dyDescent="0.3">
      <c r="A11" s="2">
        <v>6</v>
      </c>
      <c r="B11" s="8" t="s">
        <v>54</v>
      </c>
      <c r="C11" s="4">
        <v>74</v>
      </c>
      <c r="D11" s="4">
        <v>62</v>
      </c>
      <c r="E11" s="4">
        <v>69</v>
      </c>
      <c r="F11" s="5"/>
      <c r="G11" s="6">
        <f t="shared" si="0"/>
        <v>205</v>
      </c>
      <c r="H11" s="4">
        <f t="shared" si="1"/>
        <v>68.333333333333329</v>
      </c>
      <c r="I11" s="4">
        <f t="shared" si="2"/>
        <v>17.083333333333332</v>
      </c>
      <c r="J11" s="5"/>
      <c r="K11" s="4">
        <v>62</v>
      </c>
      <c r="L11" s="4">
        <f t="shared" si="3"/>
        <v>186</v>
      </c>
      <c r="M11" s="4">
        <f t="shared" si="4"/>
        <v>46.5</v>
      </c>
      <c r="N11" s="4">
        <f t="shared" si="5"/>
        <v>63.583333333333329</v>
      </c>
    </row>
    <row r="12" spans="1:15" x14ac:dyDescent="0.3">
      <c r="A12" s="2">
        <v>7</v>
      </c>
      <c r="B12" s="8" t="s">
        <v>51</v>
      </c>
      <c r="C12" s="4">
        <v>75</v>
      </c>
      <c r="D12" s="4">
        <v>58</v>
      </c>
      <c r="E12" s="4">
        <v>58</v>
      </c>
      <c r="F12" s="5"/>
      <c r="G12" s="6">
        <f t="shared" si="0"/>
        <v>191</v>
      </c>
      <c r="H12" s="4">
        <f t="shared" si="1"/>
        <v>63.666666666666664</v>
      </c>
      <c r="I12" s="4">
        <f t="shared" si="2"/>
        <v>15.916666666666666</v>
      </c>
      <c r="J12" s="5"/>
      <c r="K12" s="4">
        <v>55</v>
      </c>
      <c r="L12" s="4">
        <f t="shared" si="3"/>
        <v>165</v>
      </c>
      <c r="M12" s="4">
        <f t="shared" si="4"/>
        <v>41.25</v>
      </c>
      <c r="N12" s="4">
        <f t="shared" si="5"/>
        <v>57.166666666666664</v>
      </c>
    </row>
    <row r="13" spans="1:15" x14ac:dyDescent="0.3">
      <c r="A13" s="2">
        <v>8</v>
      </c>
      <c r="B13" s="8" t="s">
        <v>60</v>
      </c>
      <c r="C13" s="4">
        <v>65</v>
      </c>
      <c r="D13" s="4">
        <v>72</v>
      </c>
      <c r="E13" s="4">
        <v>73</v>
      </c>
      <c r="F13" s="5"/>
      <c r="G13" s="6">
        <f t="shared" si="0"/>
        <v>210</v>
      </c>
      <c r="H13" s="4">
        <f t="shared" si="1"/>
        <v>70</v>
      </c>
      <c r="I13" s="4">
        <f t="shared" si="2"/>
        <v>17.5</v>
      </c>
      <c r="J13" s="5"/>
      <c r="K13" s="4">
        <v>58</v>
      </c>
      <c r="L13" s="4">
        <f t="shared" si="3"/>
        <v>174</v>
      </c>
      <c r="M13" s="4">
        <f t="shared" si="4"/>
        <v>43.5</v>
      </c>
      <c r="N13" s="4">
        <f t="shared" si="5"/>
        <v>61</v>
      </c>
    </row>
    <row r="14" spans="1:15" x14ac:dyDescent="0.3">
      <c r="A14" s="2">
        <v>9</v>
      </c>
      <c r="B14" s="8" t="s">
        <v>55</v>
      </c>
      <c r="C14" s="4">
        <v>71</v>
      </c>
      <c r="D14" s="4">
        <v>67</v>
      </c>
      <c r="E14" s="4">
        <v>69</v>
      </c>
      <c r="F14" s="5"/>
      <c r="G14" s="6">
        <f t="shared" si="0"/>
        <v>207</v>
      </c>
      <c r="H14" s="4">
        <f t="shared" si="1"/>
        <v>69</v>
      </c>
      <c r="I14" s="4">
        <f t="shared" si="2"/>
        <v>17.25</v>
      </c>
      <c r="J14" s="5"/>
      <c r="K14" s="4">
        <v>65</v>
      </c>
      <c r="L14" s="4">
        <f t="shared" si="3"/>
        <v>195</v>
      </c>
      <c r="M14" s="4">
        <f t="shared" si="4"/>
        <v>48.75</v>
      </c>
      <c r="N14" s="4">
        <f t="shared" si="5"/>
        <v>66</v>
      </c>
    </row>
    <row r="15" spans="1:15" x14ac:dyDescent="0.3">
      <c r="A15" s="2">
        <v>10</v>
      </c>
      <c r="B15" s="8" t="s">
        <v>50</v>
      </c>
      <c r="C15" s="4">
        <v>88</v>
      </c>
      <c r="D15" s="4">
        <v>88</v>
      </c>
      <c r="E15" s="4">
        <v>86</v>
      </c>
      <c r="F15" s="5"/>
      <c r="G15" s="6">
        <f t="shared" si="0"/>
        <v>262</v>
      </c>
      <c r="H15" s="4">
        <f t="shared" si="1"/>
        <v>87.333333333333329</v>
      </c>
      <c r="I15" s="4">
        <f t="shared" si="2"/>
        <v>21.833333333333332</v>
      </c>
      <c r="J15" s="5"/>
      <c r="K15" s="4">
        <v>90</v>
      </c>
      <c r="L15" s="4">
        <f t="shared" si="3"/>
        <v>270</v>
      </c>
      <c r="M15" s="4">
        <f t="shared" si="4"/>
        <v>67.5</v>
      </c>
      <c r="N15" s="4">
        <f t="shared" si="5"/>
        <v>89.333333333333329</v>
      </c>
    </row>
    <row r="16" spans="1:15" x14ac:dyDescent="0.3">
      <c r="A16" s="2">
        <v>11</v>
      </c>
      <c r="B16" s="8" t="s">
        <v>57</v>
      </c>
      <c r="C16" s="4">
        <v>57</v>
      </c>
      <c r="D16" s="4">
        <v>62</v>
      </c>
      <c r="E16" s="4">
        <v>65</v>
      </c>
      <c r="F16" s="5"/>
      <c r="G16" s="6">
        <f t="shared" si="0"/>
        <v>184</v>
      </c>
      <c r="H16" s="4">
        <f t="shared" si="1"/>
        <v>61.333333333333336</v>
      </c>
      <c r="I16" s="4">
        <f t="shared" si="2"/>
        <v>15.333333333333334</v>
      </c>
      <c r="J16" s="5"/>
      <c r="K16" s="4">
        <v>62</v>
      </c>
      <c r="L16" s="4">
        <f t="shared" si="3"/>
        <v>186</v>
      </c>
      <c r="M16" s="4">
        <f t="shared" si="4"/>
        <v>46.5</v>
      </c>
      <c r="N16" s="4">
        <f t="shared" si="5"/>
        <v>61.833333333333336</v>
      </c>
    </row>
    <row r="17" spans="1:15" x14ac:dyDescent="0.3">
      <c r="A17" s="2">
        <v>12</v>
      </c>
      <c r="B17" s="8" t="s">
        <v>52</v>
      </c>
      <c r="C17" s="4">
        <v>81</v>
      </c>
      <c r="D17" s="4">
        <v>83</v>
      </c>
      <c r="E17" s="4">
        <v>82</v>
      </c>
      <c r="F17" s="5"/>
      <c r="G17" s="6">
        <f t="shared" si="0"/>
        <v>246</v>
      </c>
      <c r="H17" s="4">
        <f t="shared" si="1"/>
        <v>82</v>
      </c>
      <c r="I17" s="4">
        <f t="shared" si="2"/>
        <v>20.5</v>
      </c>
      <c r="J17" s="5"/>
      <c r="K17" s="4">
        <v>82</v>
      </c>
      <c r="L17" s="4">
        <f t="shared" si="3"/>
        <v>246</v>
      </c>
      <c r="M17" s="4">
        <f t="shared" si="4"/>
        <v>61.5</v>
      </c>
      <c r="N17" s="4">
        <f t="shared" si="5"/>
        <v>82</v>
      </c>
    </row>
    <row r="18" spans="1:15" x14ac:dyDescent="0.3">
      <c r="A18" s="2">
        <v>13</v>
      </c>
      <c r="B18" s="8" t="s">
        <v>49</v>
      </c>
      <c r="C18" s="4">
        <v>88</v>
      </c>
      <c r="D18" s="4">
        <v>86</v>
      </c>
      <c r="E18" s="4">
        <v>87</v>
      </c>
      <c r="F18" s="5"/>
      <c r="G18" s="6">
        <f t="shared" si="0"/>
        <v>261</v>
      </c>
      <c r="H18" s="4">
        <f t="shared" si="1"/>
        <v>87</v>
      </c>
      <c r="I18" s="4">
        <f t="shared" si="2"/>
        <v>21.75</v>
      </c>
      <c r="J18" s="5"/>
      <c r="K18" s="4">
        <v>89</v>
      </c>
      <c r="L18" s="4">
        <f t="shared" si="3"/>
        <v>267</v>
      </c>
      <c r="M18" s="4">
        <f t="shared" si="4"/>
        <v>66.75</v>
      </c>
      <c r="N18" s="4">
        <f t="shared" si="5"/>
        <v>88.5</v>
      </c>
    </row>
    <row r="21" spans="1:15" x14ac:dyDescent="0.3">
      <c r="A21" s="63" t="s">
        <v>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1:15" x14ac:dyDescent="0.3">
      <c r="A22" s="63" t="s">
        <v>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1:15" x14ac:dyDescent="0.3">
      <c r="A23" s="63" t="s">
        <v>48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5" x14ac:dyDescent="0.3">
      <c r="B24" s="64" t="s">
        <v>44</v>
      </c>
      <c r="C24" s="64"/>
      <c r="D24" s="64"/>
    </row>
    <row r="25" spans="1:15" x14ac:dyDescent="0.3">
      <c r="C25" s="1" t="s">
        <v>4</v>
      </c>
      <c r="D25" s="1" t="s">
        <v>5</v>
      </c>
      <c r="E25" s="1" t="s">
        <v>6</v>
      </c>
      <c r="F25" s="1"/>
      <c r="G25" s="1" t="s">
        <v>7</v>
      </c>
      <c r="H25" s="1" t="s">
        <v>8</v>
      </c>
      <c r="I25" s="3">
        <v>0.25</v>
      </c>
      <c r="J25" s="1"/>
      <c r="K25" s="1" t="s">
        <v>9</v>
      </c>
      <c r="L25" s="1"/>
      <c r="M25" s="3">
        <v>0.75</v>
      </c>
      <c r="N25" s="1" t="s">
        <v>10</v>
      </c>
    </row>
    <row r="26" spans="1:15" x14ac:dyDescent="0.3">
      <c r="A26" s="2">
        <v>1</v>
      </c>
      <c r="B26" s="8" t="s">
        <v>59</v>
      </c>
      <c r="C26" s="4">
        <v>82</v>
      </c>
      <c r="D26" s="4">
        <v>77</v>
      </c>
      <c r="E26" s="4">
        <v>83</v>
      </c>
      <c r="F26" s="5"/>
      <c r="G26" s="6">
        <f>SUM(C26:E26)</f>
        <v>242</v>
      </c>
      <c r="H26" s="4">
        <f>AVERAGE(C26:E26)</f>
        <v>80.666666666666671</v>
      </c>
      <c r="I26" s="4">
        <f>G26/12</f>
        <v>20.166666666666668</v>
      </c>
      <c r="J26" s="5"/>
      <c r="K26" s="4"/>
      <c r="L26" s="4">
        <f>K26*3</f>
        <v>0</v>
      </c>
      <c r="M26" s="4">
        <f>L26/4</f>
        <v>0</v>
      </c>
      <c r="N26" s="4">
        <f>M26+I26</f>
        <v>20.166666666666668</v>
      </c>
    </row>
    <row r="27" spans="1:15" x14ac:dyDescent="0.3">
      <c r="A27" s="2">
        <v>2</v>
      </c>
      <c r="B27" s="8" t="s">
        <v>58</v>
      </c>
      <c r="C27" s="4">
        <v>79</v>
      </c>
      <c r="D27" s="4">
        <v>75</v>
      </c>
      <c r="E27" s="4">
        <v>80</v>
      </c>
      <c r="F27" s="5"/>
      <c r="G27" s="6">
        <f t="shared" ref="G27:G38" si="6">SUM(C27:E27)</f>
        <v>234</v>
      </c>
      <c r="H27" s="4">
        <f t="shared" ref="H27:H38" si="7">AVERAGE(C27:E27)</f>
        <v>78</v>
      </c>
      <c r="I27" s="4">
        <f t="shared" ref="I27:I38" si="8">G27/12</f>
        <v>19.5</v>
      </c>
      <c r="J27" s="5"/>
      <c r="K27" s="4"/>
      <c r="L27" s="4">
        <f t="shared" ref="L27:L38" si="9">K27*3</f>
        <v>0</v>
      </c>
      <c r="M27" s="4">
        <f t="shared" ref="M27:M38" si="10">L27/4</f>
        <v>0</v>
      </c>
      <c r="N27" s="4">
        <f t="shared" ref="N27:N38" si="11">M27+I27</f>
        <v>19.5</v>
      </c>
    </row>
    <row r="28" spans="1:15" x14ac:dyDescent="0.3">
      <c r="A28" s="2">
        <v>3</v>
      </c>
      <c r="B28" s="8" t="s">
        <v>56</v>
      </c>
      <c r="C28" s="4">
        <v>80</v>
      </c>
      <c r="D28" s="4">
        <v>71</v>
      </c>
      <c r="E28" s="4">
        <v>77</v>
      </c>
      <c r="F28" s="5"/>
      <c r="G28" s="6">
        <f t="shared" si="6"/>
        <v>228</v>
      </c>
      <c r="H28" s="4">
        <f t="shared" si="7"/>
        <v>76</v>
      </c>
      <c r="I28" s="4">
        <f t="shared" si="8"/>
        <v>19</v>
      </c>
      <c r="J28" s="5"/>
      <c r="K28" s="4"/>
      <c r="L28" s="4">
        <f t="shared" si="9"/>
        <v>0</v>
      </c>
      <c r="M28" s="4">
        <f t="shared" si="10"/>
        <v>0</v>
      </c>
      <c r="N28" s="4">
        <f t="shared" si="11"/>
        <v>19</v>
      </c>
    </row>
    <row r="29" spans="1:15" x14ac:dyDescent="0.3">
      <c r="A29" s="2">
        <v>4</v>
      </c>
      <c r="B29" s="8" t="s">
        <v>53</v>
      </c>
      <c r="C29" s="4">
        <v>90</v>
      </c>
      <c r="D29" s="4">
        <v>89</v>
      </c>
      <c r="E29" s="4">
        <v>88</v>
      </c>
      <c r="F29" s="5"/>
      <c r="G29" s="6">
        <f t="shared" si="6"/>
        <v>267</v>
      </c>
      <c r="H29" s="4">
        <f t="shared" si="7"/>
        <v>89</v>
      </c>
      <c r="I29" s="4">
        <f t="shared" si="8"/>
        <v>22.25</v>
      </c>
      <c r="J29" s="5"/>
      <c r="K29" s="4"/>
      <c r="L29" s="4">
        <f t="shared" si="9"/>
        <v>0</v>
      </c>
      <c r="M29" s="4">
        <f t="shared" si="10"/>
        <v>0</v>
      </c>
      <c r="N29" s="4">
        <f t="shared" si="11"/>
        <v>22.25</v>
      </c>
    </row>
    <row r="30" spans="1:15" x14ac:dyDescent="0.3">
      <c r="A30" s="2">
        <v>5</v>
      </c>
      <c r="B30" s="8" t="s">
        <v>61</v>
      </c>
      <c r="C30" s="4">
        <v>77</v>
      </c>
      <c r="D30" s="4">
        <v>87</v>
      </c>
      <c r="E30" s="4">
        <v>85</v>
      </c>
      <c r="F30" s="5"/>
      <c r="G30" s="6">
        <f t="shared" si="6"/>
        <v>249</v>
      </c>
      <c r="H30" s="4">
        <f t="shared" si="7"/>
        <v>83</v>
      </c>
      <c r="I30" s="4">
        <f t="shared" si="8"/>
        <v>20.75</v>
      </c>
      <c r="J30" s="5"/>
      <c r="K30" s="4"/>
      <c r="L30" s="4">
        <f t="shared" si="9"/>
        <v>0</v>
      </c>
      <c r="M30" s="4">
        <f t="shared" si="10"/>
        <v>0</v>
      </c>
      <c r="N30" s="4">
        <f t="shared" si="11"/>
        <v>20.75</v>
      </c>
    </row>
    <row r="31" spans="1:15" x14ac:dyDescent="0.3">
      <c r="A31" s="2">
        <v>6</v>
      </c>
      <c r="B31" s="8" t="s">
        <v>54</v>
      </c>
      <c r="C31" s="4">
        <v>92</v>
      </c>
      <c r="D31" s="4">
        <v>90</v>
      </c>
      <c r="E31" s="4">
        <v>89</v>
      </c>
      <c r="F31" s="5"/>
      <c r="G31" s="6">
        <f t="shared" si="6"/>
        <v>271</v>
      </c>
      <c r="H31" s="4">
        <f t="shared" si="7"/>
        <v>90.333333333333329</v>
      </c>
      <c r="I31" s="4">
        <f t="shared" si="8"/>
        <v>22.583333333333332</v>
      </c>
      <c r="J31" s="5"/>
      <c r="K31" s="4"/>
      <c r="L31" s="4">
        <f t="shared" si="9"/>
        <v>0</v>
      </c>
      <c r="M31" s="4">
        <f t="shared" si="10"/>
        <v>0</v>
      </c>
      <c r="N31" s="4">
        <f t="shared" si="11"/>
        <v>22.583333333333332</v>
      </c>
    </row>
    <row r="32" spans="1:15" x14ac:dyDescent="0.3">
      <c r="A32" s="2">
        <v>7</v>
      </c>
      <c r="B32" s="8" t="s">
        <v>51</v>
      </c>
      <c r="C32" s="4">
        <v>93</v>
      </c>
      <c r="D32" s="4">
        <v>97</v>
      </c>
      <c r="E32" s="4">
        <v>92</v>
      </c>
      <c r="F32" s="5"/>
      <c r="G32" s="6">
        <f t="shared" si="6"/>
        <v>282</v>
      </c>
      <c r="H32" s="4">
        <f t="shared" si="7"/>
        <v>94</v>
      </c>
      <c r="I32" s="4">
        <f t="shared" si="8"/>
        <v>23.5</v>
      </c>
      <c r="J32" s="5"/>
      <c r="K32" s="4"/>
      <c r="L32" s="4">
        <f t="shared" si="9"/>
        <v>0</v>
      </c>
      <c r="M32" s="4">
        <f t="shared" si="10"/>
        <v>0</v>
      </c>
      <c r="N32" s="4">
        <f t="shared" si="11"/>
        <v>23.5</v>
      </c>
    </row>
    <row r="33" spans="1:15" x14ac:dyDescent="0.3">
      <c r="A33" s="2">
        <v>8</v>
      </c>
      <c r="B33" s="8" t="s">
        <v>60</v>
      </c>
      <c r="C33" s="4">
        <v>68</v>
      </c>
      <c r="D33" s="4">
        <v>80</v>
      </c>
      <c r="E33" s="4">
        <v>77</v>
      </c>
      <c r="F33" s="5"/>
      <c r="G33" s="6">
        <f t="shared" si="6"/>
        <v>225</v>
      </c>
      <c r="H33" s="4">
        <f t="shared" si="7"/>
        <v>75</v>
      </c>
      <c r="I33" s="4">
        <f t="shared" si="8"/>
        <v>18.75</v>
      </c>
      <c r="J33" s="5"/>
      <c r="K33" s="4"/>
      <c r="L33" s="4">
        <f t="shared" si="9"/>
        <v>0</v>
      </c>
      <c r="M33" s="4">
        <f t="shared" si="10"/>
        <v>0</v>
      </c>
      <c r="N33" s="4">
        <f t="shared" si="11"/>
        <v>18.75</v>
      </c>
    </row>
    <row r="34" spans="1:15" x14ac:dyDescent="0.3">
      <c r="A34" s="2">
        <v>9</v>
      </c>
      <c r="B34" s="8" t="s">
        <v>55</v>
      </c>
      <c r="C34" s="4">
        <v>90</v>
      </c>
      <c r="D34" s="4">
        <v>89</v>
      </c>
      <c r="E34" s="4">
        <v>86</v>
      </c>
      <c r="F34" s="5"/>
      <c r="G34" s="6">
        <f t="shared" si="6"/>
        <v>265</v>
      </c>
      <c r="H34" s="4">
        <f t="shared" si="7"/>
        <v>88.333333333333329</v>
      </c>
      <c r="I34" s="4">
        <f t="shared" si="8"/>
        <v>22.083333333333332</v>
      </c>
      <c r="J34" s="5"/>
      <c r="K34" s="4"/>
      <c r="L34" s="4">
        <f t="shared" si="9"/>
        <v>0</v>
      </c>
      <c r="M34" s="4">
        <f t="shared" si="10"/>
        <v>0</v>
      </c>
      <c r="N34" s="4">
        <f t="shared" si="11"/>
        <v>22.083333333333332</v>
      </c>
    </row>
    <row r="35" spans="1:15" x14ac:dyDescent="0.3">
      <c r="A35" s="2">
        <v>10</v>
      </c>
      <c r="B35" s="8" t="s">
        <v>50</v>
      </c>
      <c r="C35" s="4">
        <v>95</v>
      </c>
      <c r="D35" s="4">
        <v>96</v>
      </c>
      <c r="E35" s="4">
        <v>90</v>
      </c>
      <c r="F35" s="5"/>
      <c r="G35" s="6">
        <f t="shared" si="6"/>
        <v>281</v>
      </c>
      <c r="H35" s="4">
        <f t="shared" si="7"/>
        <v>93.666666666666671</v>
      </c>
      <c r="I35" s="4">
        <f t="shared" si="8"/>
        <v>23.416666666666668</v>
      </c>
      <c r="J35" s="5"/>
      <c r="K35" s="4"/>
      <c r="L35" s="4">
        <f t="shared" si="9"/>
        <v>0</v>
      </c>
      <c r="M35" s="4">
        <f t="shared" si="10"/>
        <v>0</v>
      </c>
      <c r="N35" s="4">
        <f t="shared" si="11"/>
        <v>23.416666666666668</v>
      </c>
    </row>
    <row r="36" spans="1:15" x14ac:dyDescent="0.3">
      <c r="A36" s="2">
        <v>11</v>
      </c>
      <c r="B36" s="8" t="s">
        <v>57</v>
      </c>
      <c r="C36" s="4">
        <v>77</v>
      </c>
      <c r="D36" s="4">
        <v>78</v>
      </c>
      <c r="E36" s="4">
        <v>75</v>
      </c>
      <c r="F36" s="5"/>
      <c r="G36" s="6">
        <f t="shared" si="6"/>
        <v>230</v>
      </c>
      <c r="H36" s="4">
        <f t="shared" si="7"/>
        <v>76.666666666666671</v>
      </c>
      <c r="I36" s="4">
        <f t="shared" si="8"/>
        <v>19.166666666666668</v>
      </c>
      <c r="J36" s="5"/>
      <c r="K36" s="4"/>
      <c r="L36" s="4">
        <f t="shared" si="9"/>
        <v>0</v>
      </c>
      <c r="M36" s="4">
        <f t="shared" si="10"/>
        <v>0</v>
      </c>
      <c r="N36" s="4">
        <f t="shared" si="11"/>
        <v>19.166666666666668</v>
      </c>
    </row>
    <row r="37" spans="1:15" x14ac:dyDescent="0.3">
      <c r="A37" s="2">
        <v>12</v>
      </c>
      <c r="B37" s="8" t="s">
        <v>52</v>
      </c>
      <c r="C37" s="4">
        <v>92</v>
      </c>
      <c r="D37" s="4">
        <v>96</v>
      </c>
      <c r="E37" s="4">
        <v>96</v>
      </c>
      <c r="F37" s="5"/>
      <c r="G37" s="6">
        <f t="shared" si="6"/>
        <v>284</v>
      </c>
      <c r="H37" s="4">
        <f t="shared" si="7"/>
        <v>94.666666666666671</v>
      </c>
      <c r="I37" s="4">
        <f t="shared" si="8"/>
        <v>23.666666666666668</v>
      </c>
      <c r="J37" s="5"/>
      <c r="K37" s="4"/>
      <c r="L37" s="4">
        <f t="shared" si="9"/>
        <v>0</v>
      </c>
      <c r="M37" s="4">
        <f t="shared" si="10"/>
        <v>0</v>
      </c>
      <c r="N37" s="4">
        <f t="shared" si="11"/>
        <v>23.666666666666668</v>
      </c>
    </row>
    <row r="38" spans="1:15" x14ac:dyDescent="0.3">
      <c r="A38" s="2">
        <v>13</v>
      </c>
      <c r="B38" s="8" t="s">
        <v>49</v>
      </c>
      <c r="C38" s="4">
        <v>95</v>
      </c>
      <c r="D38" s="4">
        <v>95</v>
      </c>
      <c r="E38" s="4">
        <v>92</v>
      </c>
      <c r="F38" s="5"/>
      <c r="G38" s="6">
        <f t="shared" si="6"/>
        <v>282</v>
      </c>
      <c r="H38" s="4">
        <f t="shared" si="7"/>
        <v>94</v>
      </c>
      <c r="I38" s="4">
        <f t="shared" si="8"/>
        <v>23.5</v>
      </c>
      <c r="J38" s="5"/>
      <c r="K38" s="4"/>
      <c r="L38" s="4">
        <f t="shared" si="9"/>
        <v>0</v>
      </c>
      <c r="M38" s="4">
        <f t="shared" si="10"/>
        <v>0</v>
      </c>
      <c r="N38" s="4">
        <f t="shared" si="11"/>
        <v>23.5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48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45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8" t="s">
        <v>59</v>
      </c>
      <c r="C53" s="4">
        <v>52</v>
      </c>
      <c r="D53" s="4">
        <v>47</v>
      </c>
      <c r="E53" s="4">
        <v>42</v>
      </c>
      <c r="F53" s="5"/>
      <c r="G53" s="6">
        <f>SUM(C53:E53)</f>
        <v>141</v>
      </c>
      <c r="H53" s="4">
        <f>AVERAGE(C53:E53)</f>
        <v>47</v>
      </c>
      <c r="I53" s="4">
        <f>G53/12</f>
        <v>11.75</v>
      </c>
      <c r="J53" s="5"/>
      <c r="K53" s="4">
        <v>44</v>
      </c>
      <c r="L53" s="4">
        <f>K53*3</f>
        <v>132</v>
      </c>
      <c r="M53" s="4">
        <f>L53/4</f>
        <v>33</v>
      </c>
      <c r="N53" s="4">
        <f>M53+I53</f>
        <v>44.75</v>
      </c>
    </row>
    <row r="54" spans="1:15" x14ac:dyDescent="0.3">
      <c r="A54" s="2">
        <v>2</v>
      </c>
      <c r="B54" s="8" t="s">
        <v>58</v>
      </c>
      <c r="C54" s="4">
        <v>39</v>
      </c>
      <c r="D54" s="4">
        <v>39</v>
      </c>
      <c r="E54" s="4">
        <v>40</v>
      </c>
      <c r="F54" s="5"/>
      <c r="G54" s="6">
        <f t="shared" ref="G54:G65" si="12">SUM(C54:E54)</f>
        <v>118</v>
      </c>
      <c r="H54" s="4">
        <f t="shared" ref="H54:H65" si="13">AVERAGE(C54:E54)</f>
        <v>39.333333333333336</v>
      </c>
      <c r="I54" s="4">
        <f t="shared" ref="I54:I65" si="14">G54/12</f>
        <v>9.8333333333333339</v>
      </c>
      <c r="J54" s="5"/>
      <c r="K54" s="4">
        <v>45</v>
      </c>
      <c r="L54" s="4">
        <f t="shared" ref="L54:L65" si="15">K54*3</f>
        <v>135</v>
      </c>
      <c r="M54" s="4">
        <f t="shared" ref="M54:M65" si="16">L54/4</f>
        <v>33.75</v>
      </c>
      <c r="N54" s="4">
        <f t="shared" ref="N54:N65" si="17">M54+I54</f>
        <v>43.583333333333336</v>
      </c>
    </row>
    <row r="55" spans="1:15" x14ac:dyDescent="0.3">
      <c r="A55" s="2">
        <v>3</v>
      </c>
      <c r="B55" s="8" t="s">
        <v>56</v>
      </c>
      <c r="C55" s="4">
        <v>45</v>
      </c>
      <c r="D55" s="4">
        <v>47</v>
      </c>
      <c r="E55" s="4">
        <v>49</v>
      </c>
      <c r="F55" s="5"/>
      <c r="G55" s="6">
        <f t="shared" si="12"/>
        <v>141</v>
      </c>
      <c r="H55" s="4">
        <f t="shared" si="13"/>
        <v>47</v>
      </c>
      <c r="I55" s="4">
        <f t="shared" si="14"/>
        <v>11.75</v>
      </c>
      <c r="J55" s="5"/>
      <c r="K55" s="4">
        <v>41</v>
      </c>
      <c r="L55" s="4">
        <f t="shared" si="15"/>
        <v>123</v>
      </c>
      <c r="M55" s="4">
        <f t="shared" si="16"/>
        <v>30.75</v>
      </c>
      <c r="N55" s="4">
        <f t="shared" si="17"/>
        <v>42.5</v>
      </c>
    </row>
    <row r="56" spans="1:15" x14ac:dyDescent="0.3">
      <c r="A56" s="2">
        <v>4</v>
      </c>
      <c r="B56" s="8" t="s">
        <v>53</v>
      </c>
      <c r="C56" s="4">
        <v>84</v>
      </c>
      <c r="D56" s="4">
        <v>85</v>
      </c>
      <c r="E56" s="4">
        <v>82</v>
      </c>
      <c r="F56" s="5"/>
      <c r="G56" s="6">
        <f t="shared" si="12"/>
        <v>251</v>
      </c>
      <c r="H56" s="4">
        <f t="shared" si="13"/>
        <v>83.666666666666671</v>
      </c>
      <c r="I56" s="4">
        <f t="shared" si="14"/>
        <v>20.916666666666668</v>
      </c>
      <c r="J56" s="5"/>
      <c r="K56" s="4">
        <v>82</v>
      </c>
      <c r="L56" s="4">
        <f t="shared" si="15"/>
        <v>246</v>
      </c>
      <c r="M56" s="4">
        <f t="shared" si="16"/>
        <v>61.5</v>
      </c>
      <c r="N56" s="4">
        <f t="shared" si="17"/>
        <v>82.416666666666671</v>
      </c>
    </row>
    <row r="57" spans="1:15" x14ac:dyDescent="0.3">
      <c r="A57" s="2">
        <v>5</v>
      </c>
      <c r="B57" s="8" t="s">
        <v>61</v>
      </c>
      <c r="C57" s="4">
        <v>65</v>
      </c>
      <c r="D57" s="4">
        <v>69</v>
      </c>
      <c r="E57" s="4">
        <v>68</v>
      </c>
      <c r="F57" s="5"/>
      <c r="G57" s="6">
        <f t="shared" si="12"/>
        <v>202</v>
      </c>
      <c r="H57" s="4">
        <f t="shared" si="13"/>
        <v>67.333333333333329</v>
      </c>
      <c r="I57" s="4">
        <f t="shared" si="14"/>
        <v>16.833333333333332</v>
      </c>
      <c r="J57" s="5"/>
      <c r="K57" s="4">
        <v>58</v>
      </c>
      <c r="L57" s="4">
        <f t="shared" si="15"/>
        <v>174</v>
      </c>
      <c r="M57" s="4">
        <f t="shared" si="16"/>
        <v>43.5</v>
      </c>
      <c r="N57" s="4">
        <f t="shared" si="17"/>
        <v>60.333333333333329</v>
      </c>
    </row>
    <row r="58" spans="1:15" x14ac:dyDescent="0.3">
      <c r="A58" s="2">
        <v>6</v>
      </c>
      <c r="B58" s="8" t="s">
        <v>54</v>
      </c>
      <c r="C58" s="4">
        <v>89</v>
      </c>
      <c r="D58" s="4">
        <v>87</v>
      </c>
      <c r="E58" s="4">
        <v>86</v>
      </c>
      <c r="F58" s="5"/>
      <c r="G58" s="6">
        <f t="shared" si="12"/>
        <v>262</v>
      </c>
      <c r="H58" s="4">
        <f t="shared" si="13"/>
        <v>87.333333333333329</v>
      </c>
      <c r="I58" s="4">
        <f t="shared" si="14"/>
        <v>21.833333333333332</v>
      </c>
      <c r="J58" s="5"/>
      <c r="K58" s="4">
        <v>85</v>
      </c>
      <c r="L58" s="4">
        <f t="shared" si="15"/>
        <v>255</v>
      </c>
      <c r="M58" s="4">
        <f t="shared" si="16"/>
        <v>63.75</v>
      </c>
      <c r="N58" s="4">
        <f t="shared" si="17"/>
        <v>85.583333333333329</v>
      </c>
    </row>
    <row r="59" spans="1:15" x14ac:dyDescent="0.3">
      <c r="A59" s="2">
        <v>7</v>
      </c>
      <c r="B59" s="8" t="s">
        <v>51</v>
      </c>
      <c r="C59" s="4">
        <v>81</v>
      </c>
      <c r="D59" s="4">
        <v>77</v>
      </c>
      <c r="E59" s="4">
        <v>76</v>
      </c>
      <c r="F59" s="5"/>
      <c r="G59" s="6">
        <f t="shared" si="12"/>
        <v>234</v>
      </c>
      <c r="H59" s="4">
        <f t="shared" si="13"/>
        <v>78</v>
      </c>
      <c r="I59" s="4">
        <f t="shared" si="14"/>
        <v>19.5</v>
      </c>
      <c r="J59" s="5"/>
      <c r="K59" s="4">
        <v>80</v>
      </c>
      <c r="L59" s="4">
        <f t="shared" si="15"/>
        <v>240</v>
      </c>
      <c r="M59" s="4">
        <f t="shared" si="16"/>
        <v>60</v>
      </c>
      <c r="N59" s="4">
        <f t="shared" si="17"/>
        <v>79.5</v>
      </c>
    </row>
    <row r="60" spans="1:15" x14ac:dyDescent="0.3">
      <c r="A60" s="2">
        <v>8</v>
      </c>
      <c r="B60" s="8" t="s">
        <v>60</v>
      </c>
      <c r="C60" s="4">
        <v>66</v>
      </c>
      <c r="D60" s="4">
        <v>79</v>
      </c>
      <c r="E60" s="4">
        <v>75</v>
      </c>
      <c r="F60" s="5"/>
      <c r="G60" s="6">
        <f t="shared" si="12"/>
        <v>220</v>
      </c>
      <c r="H60" s="4">
        <f t="shared" si="13"/>
        <v>73.333333333333329</v>
      </c>
      <c r="I60" s="4">
        <f t="shared" si="14"/>
        <v>18.333333333333332</v>
      </c>
      <c r="J60" s="5"/>
      <c r="K60" s="4">
        <v>81</v>
      </c>
      <c r="L60" s="4">
        <f t="shared" si="15"/>
        <v>243</v>
      </c>
      <c r="M60" s="4">
        <f t="shared" si="16"/>
        <v>60.75</v>
      </c>
      <c r="N60" s="4">
        <f t="shared" si="17"/>
        <v>79.083333333333329</v>
      </c>
    </row>
    <row r="61" spans="1:15" x14ac:dyDescent="0.3">
      <c r="A61" s="2">
        <v>9</v>
      </c>
      <c r="B61" s="8" t="s">
        <v>55</v>
      </c>
      <c r="C61" s="4">
        <v>82</v>
      </c>
      <c r="D61" s="4">
        <v>83</v>
      </c>
      <c r="E61" s="4">
        <v>80</v>
      </c>
      <c r="F61" s="5"/>
      <c r="G61" s="6">
        <f t="shared" si="12"/>
        <v>245</v>
      </c>
      <c r="H61" s="4">
        <f t="shared" si="13"/>
        <v>81.666666666666671</v>
      </c>
      <c r="I61" s="4">
        <f t="shared" si="14"/>
        <v>20.416666666666668</v>
      </c>
      <c r="J61" s="5"/>
      <c r="K61" s="4">
        <v>83</v>
      </c>
      <c r="L61" s="4">
        <f t="shared" si="15"/>
        <v>249</v>
      </c>
      <c r="M61" s="4">
        <f t="shared" si="16"/>
        <v>62.25</v>
      </c>
      <c r="N61" s="4">
        <f t="shared" si="17"/>
        <v>82.666666666666671</v>
      </c>
    </row>
    <row r="62" spans="1:15" x14ac:dyDescent="0.3">
      <c r="A62" s="2">
        <v>10</v>
      </c>
      <c r="B62" s="8" t="s">
        <v>50</v>
      </c>
      <c r="C62" s="4">
        <v>89</v>
      </c>
      <c r="D62" s="4">
        <v>88</v>
      </c>
      <c r="E62" s="4">
        <v>86</v>
      </c>
      <c r="F62" s="5"/>
      <c r="G62" s="6">
        <f t="shared" si="12"/>
        <v>263</v>
      </c>
      <c r="H62" s="4">
        <f t="shared" si="13"/>
        <v>87.666666666666671</v>
      </c>
      <c r="I62" s="4">
        <f t="shared" si="14"/>
        <v>21.916666666666668</v>
      </c>
      <c r="J62" s="5"/>
      <c r="K62" s="4">
        <v>89</v>
      </c>
      <c r="L62" s="4">
        <f t="shared" si="15"/>
        <v>267</v>
      </c>
      <c r="M62" s="4">
        <f t="shared" si="16"/>
        <v>66.75</v>
      </c>
      <c r="N62" s="4">
        <f t="shared" si="17"/>
        <v>88.666666666666671</v>
      </c>
    </row>
    <row r="63" spans="1:15" x14ac:dyDescent="0.3">
      <c r="A63" s="2">
        <v>11</v>
      </c>
      <c r="B63" s="8" t="s">
        <v>57</v>
      </c>
      <c r="C63" s="4">
        <v>74</v>
      </c>
      <c r="D63" s="4">
        <v>65</v>
      </c>
      <c r="E63" s="4">
        <v>71</v>
      </c>
      <c r="F63" s="5"/>
      <c r="G63" s="6">
        <f t="shared" si="12"/>
        <v>210</v>
      </c>
      <c r="H63" s="4">
        <f t="shared" si="13"/>
        <v>70</v>
      </c>
      <c r="I63" s="4">
        <f t="shared" si="14"/>
        <v>17.5</v>
      </c>
      <c r="J63" s="5"/>
      <c r="K63" s="4">
        <v>65</v>
      </c>
      <c r="L63" s="4">
        <f t="shared" si="15"/>
        <v>195</v>
      </c>
      <c r="M63" s="4">
        <f t="shared" si="16"/>
        <v>48.75</v>
      </c>
      <c r="N63" s="4">
        <f t="shared" si="17"/>
        <v>66.25</v>
      </c>
    </row>
    <row r="64" spans="1:15" x14ac:dyDescent="0.3">
      <c r="A64" s="2">
        <v>12</v>
      </c>
      <c r="B64" s="8" t="s">
        <v>52</v>
      </c>
      <c r="C64" s="4">
        <v>90</v>
      </c>
      <c r="D64" s="4">
        <v>88</v>
      </c>
      <c r="E64" s="4">
        <v>86</v>
      </c>
      <c r="F64" s="5"/>
      <c r="G64" s="6">
        <f t="shared" si="12"/>
        <v>264</v>
      </c>
      <c r="H64" s="4">
        <f t="shared" si="13"/>
        <v>88</v>
      </c>
      <c r="I64" s="4">
        <f t="shared" si="14"/>
        <v>22</v>
      </c>
      <c r="J64" s="5"/>
      <c r="K64" s="4">
        <v>90</v>
      </c>
      <c r="L64" s="4">
        <f t="shared" si="15"/>
        <v>270</v>
      </c>
      <c r="M64" s="4">
        <f t="shared" si="16"/>
        <v>67.5</v>
      </c>
      <c r="N64" s="4">
        <f t="shared" si="17"/>
        <v>89.5</v>
      </c>
    </row>
    <row r="65" spans="1:15" x14ac:dyDescent="0.3">
      <c r="A65" s="2">
        <v>13</v>
      </c>
      <c r="B65" s="8" t="s">
        <v>49</v>
      </c>
      <c r="C65" s="4">
        <v>95</v>
      </c>
      <c r="D65" s="4">
        <v>95</v>
      </c>
      <c r="E65" s="4">
        <v>92</v>
      </c>
      <c r="F65" s="5"/>
      <c r="G65" s="6">
        <f t="shared" si="12"/>
        <v>282</v>
      </c>
      <c r="H65" s="4">
        <f t="shared" si="13"/>
        <v>94</v>
      </c>
      <c r="I65" s="4">
        <f t="shared" si="14"/>
        <v>23.5</v>
      </c>
      <c r="J65" s="5"/>
      <c r="K65" s="4">
        <v>95</v>
      </c>
      <c r="L65" s="4">
        <f t="shared" si="15"/>
        <v>285</v>
      </c>
      <c r="M65" s="4">
        <f t="shared" si="16"/>
        <v>71.25</v>
      </c>
      <c r="N65" s="4">
        <f t="shared" si="17"/>
        <v>94.75</v>
      </c>
    </row>
    <row r="68" spans="1:15" x14ac:dyDescent="0.3">
      <c r="A68" s="63" t="s">
        <v>0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1:15" x14ac:dyDescent="0.3">
      <c r="A69" s="63" t="s">
        <v>1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1:15" x14ac:dyDescent="0.3">
      <c r="A70" s="63" t="s">
        <v>48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1:15" x14ac:dyDescent="0.3">
      <c r="B71" s="64" t="s">
        <v>21</v>
      </c>
      <c r="C71" s="64"/>
      <c r="D71" s="64"/>
    </row>
    <row r="72" spans="1:15" x14ac:dyDescent="0.3">
      <c r="C72" s="1" t="s">
        <v>4</v>
      </c>
      <c r="D72" s="1" t="s">
        <v>5</v>
      </c>
      <c r="E72" s="1" t="s">
        <v>6</v>
      </c>
      <c r="F72" s="1"/>
      <c r="G72" s="1" t="s">
        <v>7</v>
      </c>
      <c r="H72" s="1" t="s">
        <v>8</v>
      </c>
      <c r="I72" s="3">
        <v>0.25</v>
      </c>
      <c r="J72" s="1"/>
      <c r="K72" s="1" t="s">
        <v>9</v>
      </c>
      <c r="L72" s="1"/>
      <c r="M72" s="3">
        <v>0.75</v>
      </c>
      <c r="N72" s="1" t="s">
        <v>10</v>
      </c>
    </row>
    <row r="73" spans="1:15" x14ac:dyDescent="0.3">
      <c r="A73" s="2">
        <v>1</v>
      </c>
      <c r="B73" s="8" t="s">
        <v>59</v>
      </c>
      <c r="C73" s="4">
        <v>62</v>
      </c>
      <c r="D73" s="4">
        <v>62</v>
      </c>
      <c r="E73" s="4">
        <v>60</v>
      </c>
      <c r="F73" s="5"/>
      <c r="G73" s="6">
        <f>SUM(C73:E73)</f>
        <v>184</v>
      </c>
      <c r="H73" s="4">
        <f>AVERAGE(C73:E73)</f>
        <v>61.333333333333336</v>
      </c>
      <c r="I73" s="4">
        <f>G73/12</f>
        <v>15.333333333333334</v>
      </c>
      <c r="J73" s="5"/>
      <c r="K73" s="4">
        <v>58</v>
      </c>
      <c r="L73" s="4">
        <f>K73*3</f>
        <v>174</v>
      </c>
      <c r="M73" s="4">
        <f>L73/4</f>
        <v>43.5</v>
      </c>
      <c r="N73" s="4">
        <f>M73+I73</f>
        <v>58.833333333333336</v>
      </c>
    </row>
    <row r="74" spans="1:15" x14ac:dyDescent="0.3">
      <c r="A74" s="2">
        <v>2</v>
      </c>
      <c r="B74" s="8" t="s">
        <v>58</v>
      </c>
      <c r="C74" s="4">
        <v>39</v>
      </c>
      <c r="D74" s="4">
        <v>38</v>
      </c>
      <c r="E74" s="4">
        <v>39</v>
      </c>
      <c r="F74" s="5"/>
      <c r="G74" s="6">
        <f t="shared" ref="G74:G85" si="18">SUM(C74:E74)</f>
        <v>116</v>
      </c>
      <c r="H74" s="4">
        <f t="shared" ref="H74:H85" si="19">AVERAGE(C74:E74)</f>
        <v>38.666666666666664</v>
      </c>
      <c r="I74" s="4">
        <f t="shared" ref="I74:I85" si="20">G74/12</f>
        <v>9.6666666666666661</v>
      </c>
      <c r="J74" s="5"/>
      <c r="K74" s="4">
        <v>37</v>
      </c>
      <c r="L74" s="4">
        <f t="shared" ref="L74:L85" si="21">K74*3</f>
        <v>111</v>
      </c>
      <c r="M74" s="4">
        <f t="shared" ref="M74:M85" si="22">L74/4</f>
        <v>27.75</v>
      </c>
      <c r="N74" s="4">
        <f t="shared" ref="N74:N85" si="23">M74+I74</f>
        <v>37.416666666666664</v>
      </c>
    </row>
    <row r="75" spans="1:15" x14ac:dyDescent="0.3">
      <c r="A75" s="2">
        <v>3</v>
      </c>
      <c r="B75" s="8" t="s">
        <v>56</v>
      </c>
      <c r="C75" s="4">
        <v>58</v>
      </c>
      <c r="D75" s="4">
        <v>42</v>
      </c>
      <c r="E75" s="4">
        <v>44</v>
      </c>
      <c r="F75" s="5"/>
      <c r="G75" s="6">
        <f t="shared" si="18"/>
        <v>144</v>
      </c>
      <c r="H75" s="4">
        <f t="shared" si="19"/>
        <v>48</v>
      </c>
      <c r="I75" s="4">
        <f t="shared" si="20"/>
        <v>12</v>
      </c>
      <c r="J75" s="5"/>
      <c r="K75" s="4">
        <v>45</v>
      </c>
      <c r="L75" s="4">
        <f t="shared" si="21"/>
        <v>135</v>
      </c>
      <c r="M75" s="4">
        <f t="shared" si="22"/>
        <v>33.75</v>
      </c>
      <c r="N75" s="4">
        <f t="shared" si="23"/>
        <v>45.75</v>
      </c>
    </row>
    <row r="76" spans="1:15" x14ac:dyDescent="0.3">
      <c r="A76" s="2">
        <v>4</v>
      </c>
      <c r="B76" s="8" t="s">
        <v>53</v>
      </c>
      <c r="C76" s="4">
        <v>81</v>
      </c>
      <c r="D76" s="4">
        <v>83</v>
      </c>
      <c r="E76" s="4">
        <v>79</v>
      </c>
      <c r="F76" s="5"/>
      <c r="G76" s="6">
        <f t="shared" si="18"/>
        <v>243</v>
      </c>
      <c r="H76" s="4">
        <f t="shared" si="19"/>
        <v>81</v>
      </c>
      <c r="I76" s="4">
        <f t="shared" si="20"/>
        <v>20.25</v>
      </c>
      <c r="J76" s="5"/>
      <c r="K76" s="4">
        <v>82</v>
      </c>
      <c r="L76" s="4">
        <f t="shared" si="21"/>
        <v>246</v>
      </c>
      <c r="M76" s="4">
        <f t="shared" si="22"/>
        <v>61.5</v>
      </c>
      <c r="N76" s="4">
        <f t="shared" si="23"/>
        <v>81.75</v>
      </c>
    </row>
    <row r="77" spans="1:15" x14ac:dyDescent="0.3">
      <c r="A77" s="2">
        <v>5</v>
      </c>
      <c r="B77" s="8" t="s">
        <v>61</v>
      </c>
      <c r="C77" s="4">
        <v>74</v>
      </c>
      <c r="D77" s="4">
        <v>70</v>
      </c>
      <c r="E77" s="4">
        <v>65</v>
      </c>
      <c r="F77" s="5"/>
      <c r="G77" s="6">
        <f t="shared" si="18"/>
        <v>209</v>
      </c>
      <c r="H77" s="4">
        <f t="shared" si="19"/>
        <v>69.666666666666671</v>
      </c>
      <c r="I77" s="4">
        <f t="shared" si="20"/>
        <v>17.416666666666668</v>
      </c>
      <c r="J77" s="5"/>
      <c r="K77" s="4">
        <v>66</v>
      </c>
      <c r="L77" s="4">
        <f t="shared" si="21"/>
        <v>198</v>
      </c>
      <c r="M77" s="4">
        <f t="shared" si="22"/>
        <v>49.5</v>
      </c>
      <c r="N77" s="4">
        <f t="shared" si="23"/>
        <v>66.916666666666671</v>
      </c>
    </row>
    <row r="78" spans="1:15" x14ac:dyDescent="0.3">
      <c r="A78" s="2">
        <v>6</v>
      </c>
      <c r="B78" s="8" t="s">
        <v>54</v>
      </c>
      <c r="C78" s="4">
        <v>77</v>
      </c>
      <c r="D78" s="4">
        <v>62</v>
      </c>
      <c r="E78" s="4">
        <v>62</v>
      </c>
      <c r="F78" s="5"/>
      <c r="G78" s="6">
        <f t="shared" si="18"/>
        <v>201</v>
      </c>
      <c r="H78" s="4">
        <f t="shared" si="19"/>
        <v>67</v>
      </c>
      <c r="I78" s="4">
        <f t="shared" si="20"/>
        <v>16.75</v>
      </c>
      <c r="J78" s="5"/>
      <c r="K78" s="4">
        <v>65</v>
      </c>
      <c r="L78" s="4">
        <f t="shared" si="21"/>
        <v>195</v>
      </c>
      <c r="M78" s="4">
        <f t="shared" si="22"/>
        <v>48.75</v>
      </c>
      <c r="N78" s="4">
        <f t="shared" si="23"/>
        <v>65.5</v>
      </c>
    </row>
    <row r="79" spans="1:15" x14ac:dyDescent="0.3">
      <c r="A79" s="2">
        <v>7</v>
      </c>
      <c r="B79" s="8" t="s">
        <v>51</v>
      </c>
      <c r="C79" s="4">
        <v>75</v>
      </c>
      <c r="D79" s="4">
        <v>74</v>
      </c>
      <c r="E79" s="4">
        <v>69</v>
      </c>
      <c r="F79" s="5"/>
      <c r="G79" s="6">
        <f t="shared" si="18"/>
        <v>218</v>
      </c>
      <c r="H79" s="4">
        <f t="shared" si="19"/>
        <v>72.666666666666671</v>
      </c>
      <c r="I79" s="4">
        <f t="shared" si="20"/>
        <v>18.166666666666668</v>
      </c>
      <c r="J79" s="5"/>
      <c r="K79" s="4">
        <v>72</v>
      </c>
      <c r="L79" s="4">
        <f t="shared" si="21"/>
        <v>216</v>
      </c>
      <c r="M79" s="4">
        <f t="shared" si="22"/>
        <v>54</v>
      </c>
      <c r="N79" s="4">
        <f t="shared" si="23"/>
        <v>72.166666666666671</v>
      </c>
    </row>
    <row r="80" spans="1:15" x14ac:dyDescent="0.3">
      <c r="A80" s="2">
        <v>8</v>
      </c>
      <c r="B80" s="8" t="s">
        <v>60</v>
      </c>
      <c r="C80" s="4">
        <v>62</v>
      </c>
      <c r="D80" s="4">
        <v>62</v>
      </c>
      <c r="E80" s="4">
        <v>62</v>
      </c>
      <c r="F80" s="5"/>
      <c r="G80" s="6">
        <f t="shared" si="18"/>
        <v>186</v>
      </c>
      <c r="H80" s="4">
        <f t="shared" si="19"/>
        <v>62</v>
      </c>
      <c r="I80" s="4">
        <f t="shared" si="20"/>
        <v>15.5</v>
      </c>
      <c r="J80" s="5"/>
      <c r="K80" s="4">
        <v>63</v>
      </c>
      <c r="L80" s="4">
        <f t="shared" si="21"/>
        <v>189</v>
      </c>
      <c r="M80" s="4">
        <f t="shared" si="22"/>
        <v>47.25</v>
      </c>
      <c r="N80" s="4">
        <f t="shared" si="23"/>
        <v>62.75</v>
      </c>
    </row>
    <row r="81" spans="1:15" x14ac:dyDescent="0.3">
      <c r="A81" s="2">
        <v>9</v>
      </c>
      <c r="B81" s="8" t="s">
        <v>55</v>
      </c>
      <c r="C81" s="4">
        <v>81</v>
      </c>
      <c r="D81" s="4">
        <v>83</v>
      </c>
      <c r="E81" s="4">
        <v>80</v>
      </c>
      <c r="F81" s="5"/>
      <c r="G81" s="6">
        <f t="shared" si="18"/>
        <v>244</v>
      </c>
      <c r="H81" s="4">
        <f t="shared" si="19"/>
        <v>81.333333333333329</v>
      </c>
      <c r="I81" s="4">
        <f t="shared" si="20"/>
        <v>20.333333333333332</v>
      </c>
      <c r="J81" s="5"/>
      <c r="K81" s="4">
        <v>82</v>
      </c>
      <c r="L81" s="4">
        <f t="shared" si="21"/>
        <v>246</v>
      </c>
      <c r="M81" s="4">
        <f t="shared" si="22"/>
        <v>61.5</v>
      </c>
      <c r="N81" s="4">
        <f t="shared" si="23"/>
        <v>81.833333333333329</v>
      </c>
    </row>
    <row r="82" spans="1:15" x14ac:dyDescent="0.3">
      <c r="A82" s="2">
        <v>10</v>
      </c>
      <c r="B82" s="8" t="s">
        <v>50</v>
      </c>
      <c r="C82" s="4">
        <v>82</v>
      </c>
      <c r="D82" s="4">
        <v>82</v>
      </c>
      <c r="E82" s="4">
        <v>79</v>
      </c>
      <c r="F82" s="5"/>
      <c r="G82" s="6">
        <f t="shared" si="18"/>
        <v>243</v>
      </c>
      <c r="H82" s="4">
        <f t="shared" si="19"/>
        <v>81</v>
      </c>
      <c r="I82" s="4">
        <f t="shared" si="20"/>
        <v>20.25</v>
      </c>
      <c r="J82" s="5"/>
      <c r="K82" s="4">
        <v>83</v>
      </c>
      <c r="L82" s="4">
        <f t="shared" si="21"/>
        <v>249</v>
      </c>
      <c r="M82" s="4">
        <f t="shared" si="22"/>
        <v>62.25</v>
      </c>
      <c r="N82" s="4">
        <f t="shared" si="23"/>
        <v>82.5</v>
      </c>
    </row>
    <row r="83" spans="1:15" x14ac:dyDescent="0.3">
      <c r="A83" s="2">
        <v>11</v>
      </c>
      <c r="B83" s="8" t="s">
        <v>57</v>
      </c>
      <c r="C83" s="4">
        <v>65</v>
      </c>
      <c r="D83" s="4">
        <v>65</v>
      </c>
      <c r="E83" s="4">
        <v>62</v>
      </c>
      <c r="F83" s="5"/>
      <c r="G83" s="6">
        <f t="shared" si="18"/>
        <v>192</v>
      </c>
      <c r="H83" s="4">
        <f t="shared" si="19"/>
        <v>64</v>
      </c>
      <c r="I83" s="4">
        <f t="shared" si="20"/>
        <v>16</v>
      </c>
      <c r="J83" s="5"/>
      <c r="K83" s="4">
        <v>55</v>
      </c>
      <c r="L83" s="4">
        <f t="shared" si="21"/>
        <v>165</v>
      </c>
      <c r="M83" s="4">
        <f t="shared" si="22"/>
        <v>41.25</v>
      </c>
      <c r="N83" s="4">
        <f t="shared" si="23"/>
        <v>57.25</v>
      </c>
    </row>
    <row r="84" spans="1:15" x14ac:dyDescent="0.3">
      <c r="A84" s="2">
        <v>12</v>
      </c>
      <c r="B84" s="8" t="s">
        <v>52</v>
      </c>
      <c r="C84" s="4">
        <v>85</v>
      </c>
      <c r="D84" s="4">
        <v>87</v>
      </c>
      <c r="E84" s="4">
        <v>84</v>
      </c>
      <c r="F84" s="5"/>
      <c r="G84" s="6">
        <f t="shared" si="18"/>
        <v>256</v>
      </c>
      <c r="H84" s="4">
        <f t="shared" si="19"/>
        <v>85.333333333333329</v>
      </c>
      <c r="I84" s="4">
        <f t="shared" si="20"/>
        <v>21.333333333333332</v>
      </c>
      <c r="J84" s="5"/>
      <c r="K84" s="4">
        <v>86</v>
      </c>
      <c r="L84" s="4">
        <f t="shared" si="21"/>
        <v>258</v>
      </c>
      <c r="M84" s="4">
        <f t="shared" si="22"/>
        <v>64.5</v>
      </c>
      <c r="N84" s="4">
        <f t="shared" si="23"/>
        <v>85.833333333333329</v>
      </c>
    </row>
    <row r="85" spans="1:15" x14ac:dyDescent="0.3">
      <c r="A85" s="2">
        <v>13</v>
      </c>
      <c r="B85" s="8" t="s">
        <v>49</v>
      </c>
      <c r="C85" s="4">
        <v>91</v>
      </c>
      <c r="D85" s="4">
        <v>91</v>
      </c>
      <c r="E85" s="4">
        <v>90</v>
      </c>
      <c r="F85" s="5"/>
      <c r="G85" s="6">
        <f t="shared" si="18"/>
        <v>272</v>
      </c>
      <c r="H85" s="4">
        <f t="shared" si="19"/>
        <v>90.666666666666671</v>
      </c>
      <c r="I85" s="4">
        <f t="shared" si="20"/>
        <v>22.666666666666668</v>
      </c>
      <c r="J85" s="5"/>
      <c r="K85" s="4">
        <v>92</v>
      </c>
      <c r="L85" s="4">
        <f t="shared" si="21"/>
        <v>276</v>
      </c>
      <c r="M85" s="4">
        <f t="shared" si="22"/>
        <v>69</v>
      </c>
      <c r="N85" s="4">
        <f t="shared" si="23"/>
        <v>91.666666666666671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48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22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8" t="s">
        <v>59</v>
      </c>
      <c r="C100" s="4">
        <v>28</v>
      </c>
      <c r="D100" s="4">
        <v>30</v>
      </c>
      <c r="E100" s="4">
        <v>39</v>
      </c>
      <c r="F100" s="5"/>
      <c r="G100" s="6">
        <f>SUM(C100:E100)</f>
        <v>97</v>
      </c>
      <c r="H100" s="4">
        <f>AVERAGE(C100:E100)</f>
        <v>32.333333333333336</v>
      </c>
      <c r="I100" s="4">
        <f>G100/12</f>
        <v>8.0833333333333339</v>
      </c>
      <c r="J100" s="5"/>
      <c r="K100" s="4">
        <v>39</v>
      </c>
      <c r="L100" s="4">
        <f>K100*3</f>
        <v>117</v>
      </c>
      <c r="M100" s="4">
        <f>L100/4</f>
        <v>29.25</v>
      </c>
      <c r="N100" s="4">
        <f>M100+I100</f>
        <v>37.333333333333336</v>
      </c>
    </row>
    <row r="101" spans="1:15" x14ac:dyDescent="0.3">
      <c r="A101" s="2">
        <v>2</v>
      </c>
      <c r="B101" s="8" t="s">
        <v>58</v>
      </c>
      <c r="C101" s="4">
        <v>45</v>
      </c>
      <c r="D101" s="4">
        <v>41</v>
      </c>
      <c r="E101" s="4">
        <v>42</v>
      </c>
      <c r="F101" s="5"/>
      <c r="G101" s="6">
        <f t="shared" ref="G101:G112" si="24">SUM(C101:E101)</f>
        <v>128</v>
      </c>
      <c r="H101" s="4">
        <f t="shared" ref="H101:H112" si="25">AVERAGE(C101:E101)</f>
        <v>42.666666666666664</v>
      </c>
      <c r="I101" s="4">
        <f t="shared" ref="I101:I112" si="26">G101/12</f>
        <v>10.666666666666666</v>
      </c>
      <c r="J101" s="5"/>
      <c r="K101" s="4">
        <v>45</v>
      </c>
      <c r="L101" s="4">
        <f t="shared" ref="L101:L112" si="27">K101*3</f>
        <v>135</v>
      </c>
      <c r="M101" s="4">
        <f t="shared" ref="M101:M112" si="28">L101/4</f>
        <v>33.75</v>
      </c>
      <c r="N101" s="4">
        <f t="shared" ref="N101:N112" si="29">M101+I101</f>
        <v>44.416666666666664</v>
      </c>
    </row>
    <row r="102" spans="1:15" x14ac:dyDescent="0.3">
      <c r="A102" s="2">
        <v>3</v>
      </c>
      <c r="B102" s="8" t="s">
        <v>56</v>
      </c>
      <c r="C102" s="4">
        <v>54</v>
      </c>
      <c r="D102" s="4">
        <v>50</v>
      </c>
      <c r="E102" s="4">
        <v>56</v>
      </c>
      <c r="F102" s="5"/>
      <c r="G102" s="6">
        <f t="shared" si="24"/>
        <v>160</v>
      </c>
      <c r="H102" s="4">
        <f t="shared" si="25"/>
        <v>53.333333333333336</v>
      </c>
      <c r="I102" s="4">
        <f t="shared" si="26"/>
        <v>13.333333333333334</v>
      </c>
      <c r="J102" s="5"/>
      <c r="K102" s="4">
        <v>55</v>
      </c>
      <c r="L102" s="4">
        <f t="shared" si="27"/>
        <v>165</v>
      </c>
      <c r="M102" s="4">
        <f t="shared" si="28"/>
        <v>41.25</v>
      </c>
      <c r="N102" s="4">
        <f t="shared" si="29"/>
        <v>54.583333333333336</v>
      </c>
    </row>
    <row r="103" spans="1:15" x14ac:dyDescent="0.3">
      <c r="A103" s="2">
        <v>4</v>
      </c>
      <c r="B103" s="8" t="s">
        <v>53</v>
      </c>
      <c r="C103" s="4">
        <v>77</v>
      </c>
      <c r="D103" s="4">
        <v>75</v>
      </c>
      <c r="E103" s="4">
        <v>80</v>
      </c>
      <c r="F103" s="5"/>
      <c r="G103" s="6">
        <f t="shared" si="24"/>
        <v>232</v>
      </c>
      <c r="H103" s="4">
        <f t="shared" si="25"/>
        <v>77.333333333333329</v>
      </c>
      <c r="I103" s="4">
        <f t="shared" si="26"/>
        <v>19.333333333333332</v>
      </c>
      <c r="J103" s="5"/>
      <c r="K103" s="4">
        <v>80</v>
      </c>
      <c r="L103" s="4">
        <f t="shared" si="27"/>
        <v>240</v>
      </c>
      <c r="M103" s="4">
        <f t="shared" si="28"/>
        <v>60</v>
      </c>
      <c r="N103" s="4">
        <f t="shared" si="29"/>
        <v>79.333333333333329</v>
      </c>
    </row>
    <row r="104" spans="1:15" x14ac:dyDescent="0.3">
      <c r="A104" s="2">
        <v>5</v>
      </c>
      <c r="B104" s="8" t="s">
        <v>61</v>
      </c>
      <c r="C104" s="4">
        <v>65</v>
      </c>
      <c r="D104" s="4">
        <v>54</v>
      </c>
      <c r="E104" s="4">
        <v>65</v>
      </c>
      <c r="F104" s="5"/>
      <c r="G104" s="6">
        <f t="shared" si="24"/>
        <v>184</v>
      </c>
      <c r="H104" s="4">
        <f t="shared" si="25"/>
        <v>61.333333333333336</v>
      </c>
      <c r="I104" s="4">
        <f t="shared" si="26"/>
        <v>15.333333333333334</v>
      </c>
      <c r="J104" s="5"/>
      <c r="K104" s="4">
        <v>65</v>
      </c>
      <c r="L104" s="4">
        <f t="shared" si="27"/>
        <v>195</v>
      </c>
      <c r="M104" s="4">
        <f t="shared" si="28"/>
        <v>48.75</v>
      </c>
      <c r="N104" s="4">
        <f t="shared" si="29"/>
        <v>64.083333333333329</v>
      </c>
    </row>
    <row r="105" spans="1:15" x14ac:dyDescent="0.3">
      <c r="A105" s="2">
        <v>6</v>
      </c>
      <c r="B105" s="8" t="s">
        <v>54</v>
      </c>
      <c r="C105" s="4">
        <v>81</v>
      </c>
      <c r="D105" s="4">
        <v>80</v>
      </c>
      <c r="E105" s="4">
        <v>85</v>
      </c>
      <c r="F105" s="5"/>
      <c r="G105" s="6">
        <f t="shared" si="24"/>
        <v>246</v>
      </c>
      <c r="H105" s="4">
        <f t="shared" si="25"/>
        <v>82</v>
      </c>
      <c r="I105" s="4">
        <f t="shared" si="26"/>
        <v>20.5</v>
      </c>
      <c r="J105" s="5"/>
      <c r="K105" s="4">
        <v>82</v>
      </c>
      <c r="L105" s="4">
        <f t="shared" si="27"/>
        <v>246</v>
      </c>
      <c r="M105" s="4">
        <f t="shared" si="28"/>
        <v>61.5</v>
      </c>
      <c r="N105" s="4">
        <f t="shared" si="29"/>
        <v>82</v>
      </c>
    </row>
    <row r="106" spans="1:15" x14ac:dyDescent="0.3">
      <c r="A106" s="2">
        <v>7</v>
      </c>
      <c r="B106" s="8" t="s">
        <v>51</v>
      </c>
      <c r="C106" s="4">
        <v>83</v>
      </c>
      <c r="D106" s="4">
        <v>78</v>
      </c>
      <c r="E106" s="4">
        <v>84</v>
      </c>
      <c r="F106" s="5"/>
      <c r="G106" s="6">
        <f t="shared" si="24"/>
        <v>245</v>
      </c>
      <c r="H106" s="4">
        <f t="shared" si="25"/>
        <v>81.666666666666671</v>
      </c>
      <c r="I106" s="4">
        <f t="shared" si="26"/>
        <v>20.416666666666668</v>
      </c>
      <c r="J106" s="5"/>
      <c r="K106" s="4">
        <v>81</v>
      </c>
      <c r="L106" s="4">
        <f t="shared" si="27"/>
        <v>243</v>
      </c>
      <c r="M106" s="4">
        <f t="shared" si="28"/>
        <v>60.75</v>
      </c>
      <c r="N106" s="4">
        <f t="shared" si="29"/>
        <v>81.166666666666671</v>
      </c>
    </row>
    <row r="107" spans="1:15" x14ac:dyDescent="0.3">
      <c r="A107" s="2">
        <v>8</v>
      </c>
      <c r="B107" s="8" t="s">
        <v>60</v>
      </c>
      <c r="C107" s="4">
        <v>65</v>
      </c>
      <c r="D107" s="4">
        <v>52</v>
      </c>
      <c r="E107" s="4">
        <v>65</v>
      </c>
      <c r="F107" s="5"/>
      <c r="G107" s="6">
        <f t="shared" si="24"/>
        <v>182</v>
      </c>
      <c r="H107" s="4">
        <f t="shared" si="25"/>
        <v>60.666666666666664</v>
      </c>
      <c r="I107" s="4">
        <f t="shared" si="26"/>
        <v>15.166666666666666</v>
      </c>
      <c r="J107" s="5"/>
      <c r="K107" s="4">
        <v>62</v>
      </c>
      <c r="L107" s="4">
        <f t="shared" si="27"/>
        <v>186</v>
      </c>
      <c r="M107" s="4">
        <f t="shared" si="28"/>
        <v>46.5</v>
      </c>
      <c r="N107" s="4">
        <f t="shared" si="29"/>
        <v>61.666666666666664</v>
      </c>
    </row>
    <row r="108" spans="1:15" x14ac:dyDescent="0.3">
      <c r="A108" s="2">
        <v>9</v>
      </c>
      <c r="B108" s="8" t="s">
        <v>55</v>
      </c>
      <c r="C108" s="4">
        <v>84</v>
      </c>
      <c r="D108" s="4">
        <v>81</v>
      </c>
      <c r="E108" s="4">
        <v>83</v>
      </c>
      <c r="F108" s="5"/>
      <c r="G108" s="6">
        <f t="shared" si="24"/>
        <v>248</v>
      </c>
      <c r="H108" s="4">
        <f t="shared" si="25"/>
        <v>82.666666666666671</v>
      </c>
      <c r="I108" s="4">
        <f t="shared" si="26"/>
        <v>20.666666666666668</v>
      </c>
      <c r="J108" s="5"/>
      <c r="K108" s="4">
        <v>83</v>
      </c>
      <c r="L108" s="4">
        <f t="shared" si="27"/>
        <v>249</v>
      </c>
      <c r="M108" s="4">
        <f t="shared" si="28"/>
        <v>62.25</v>
      </c>
      <c r="N108" s="4">
        <f t="shared" si="29"/>
        <v>82.916666666666671</v>
      </c>
    </row>
    <row r="109" spans="1:15" x14ac:dyDescent="0.3">
      <c r="A109" s="2">
        <v>10</v>
      </c>
      <c r="B109" s="8" t="s">
        <v>50</v>
      </c>
      <c r="C109" s="4">
        <v>89</v>
      </c>
      <c r="D109" s="4">
        <v>86</v>
      </c>
      <c r="E109" s="4">
        <v>85</v>
      </c>
      <c r="F109" s="5"/>
      <c r="G109" s="6">
        <f t="shared" si="24"/>
        <v>260</v>
      </c>
      <c r="H109" s="4">
        <f t="shared" si="25"/>
        <v>86.666666666666671</v>
      </c>
      <c r="I109" s="4">
        <f t="shared" si="26"/>
        <v>21.666666666666668</v>
      </c>
      <c r="J109" s="5"/>
      <c r="K109" s="4">
        <v>88</v>
      </c>
      <c r="L109" s="4">
        <f t="shared" si="27"/>
        <v>264</v>
      </c>
      <c r="M109" s="4">
        <f t="shared" si="28"/>
        <v>66</v>
      </c>
      <c r="N109" s="4">
        <f t="shared" si="29"/>
        <v>87.666666666666671</v>
      </c>
    </row>
    <row r="110" spans="1:15" x14ac:dyDescent="0.3">
      <c r="A110" s="2">
        <v>11</v>
      </c>
      <c r="B110" s="8" t="s">
        <v>57</v>
      </c>
      <c r="C110" s="4">
        <v>65</v>
      </c>
      <c r="D110" s="4">
        <v>65</v>
      </c>
      <c r="E110" s="4">
        <v>62</v>
      </c>
      <c r="F110" s="5"/>
      <c r="G110" s="6">
        <f t="shared" si="24"/>
        <v>192</v>
      </c>
      <c r="H110" s="4">
        <f t="shared" si="25"/>
        <v>64</v>
      </c>
      <c r="I110" s="4">
        <f t="shared" si="26"/>
        <v>16</v>
      </c>
      <c r="J110" s="5"/>
      <c r="K110" s="4">
        <v>65</v>
      </c>
      <c r="L110" s="4">
        <f t="shared" si="27"/>
        <v>195</v>
      </c>
      <c r="M110" s="4">
        <f t="shared" si="28"/>
        <v>48.75</v>
      </c>
      <c r="N110" s="4">
        <f t="shared" si="29"/>
        <v>64.75</v>
      </c>
    </row>
    <row r="111" spans="1:15" x14ac:dyDescent="0.3">
      <c r="A111" s="2">
        <v>12</v>
      </c>
      <c r="B111" s="8" t="s">
        <v>52</v>
      </c>
      <c r="C111" s="4">
        <v>80</v>
      </c>
      <c r="D111" s="4">
        <v>82</v>
      </c>
      <c r="E111" s="4">
        <v>85</v>
      </c>
      <c r="F111" s="5"/>
      <c r="G111" s="6">
        <f t="shared" si="24"/>
        <v>247</v>
      </c>
      <c r="H111" s="4">
        <f t="shared" si="25"/>
        <v>82.333333333333329</v>
      </c>
      <c r="I111" s="4">
        <f t="shared" si="26"/>
        <v>20.583333333333332</v>
      </c>
      <c r="J111" s="5"/>
      <c r="K111" s="4">
        <v>83</v>
      </c>
      <c r="L111" s="4">
        <f t="shared" si="27"/>
        <v>249</v>
      </c>
      <c r="M111" s="4">
        <f t="shared" si="28"/>
        <v>62.25</v>
      </c>
      <c r="N111" s="4">
        <f t="shared" si="29"/>
        <v>82.833333333333329</v>
      </c>
    </row>
    <row r="112" spans="1:15" x14ac:dyDescent="0.3">
      <c r="A112" s="2">
        <v>13</v>
      </c>
      <c r="B112" s="8" t="s">
        <v>49</v>
      </c>
      <c r="C112" s="4">
        <v>91</v>
      </c>
      <c r="D112" s="4">
        <v>90</v>
      </c>
      <c r="E112" s="4">
        <v>93</v>
      </c>
      <c r="F112" s="5"/>
      <c r="G112" s="6">
        <f t="shared" si="24"/>
        <v>274</v>
      </c>
      <c r="H112" s="4">
        <f t="shared" si="25"/>
        <v>91.333333333333329</v>
      </c>
      <c r="I112" s="4">
        <f t="shared" si="26"/>
        <v>22.833333333333332</v>
      </c>
      <c r="J112" s="5"/>
      <c r="K112" s="4">
        <v>91</v>
      </c>
      <c r="L112" s="4">
        <f t="shared" si="27"/>
        <v>273</v>
      </c>
      <c r="M112" s="4">
        <f t="shared" si="28"/>
        <v>68.25</v>
      </c>
      <c r="N112" s="4">
        <f t="shared" si="29"/>
        <v>91.083333333333329</v>
      </c>
    </row>
    <row r="114" spans="1:15" x14ac:dyDescent="0.3">
      <c r="C114" s="2">
        <f>AVERAGE(C100:C112)</f>
        <v>69.769230769230774</v>
      </c>
    </row>
    <row r="115" spans="1:15" x14ac:dyDescent="0.3">
      <c r="A115" s="63" t="s">
        <v>0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1:15" x14ac:dyDescent="0.3">
      <c r="A116" s="63" t="s">
        <v>1</v>
      </c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1:15" x14ac:dyDescent="0.3">
      <c r="A117" s="63" t="s">
        <v>48</v>
      </c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1:15" x14ac:dyDescent="0.3">
      <c r="B118" s="64" t="s">
        <v>62</v>
      </c>
      <c r="C118" s="64"/>
      <c r="D118" s="64"/>
    </row>
    <row r="119" spans="1:15" x14ac:dyDescent="0.3">
      <c r="C119" s="1" t="s">
        <v>4</v>
      </c>
      <c r="D119" s="1" t="s">
        <v>5</v>
      </c>
      <c r="E119" s="1" t="s">
        <v>6</v>
      </c>
      <c r="F119" s="1"/>
      <c r="G119" s="1" t="s">
        <v>7</v>
      </c>
      <c r="H119" s="1" t="s">
        <v>8</v>
      </c>
      <c r="I119" s="3">
        <v>0.25</v>
      </c>
      <c r="J119" s="1"/>
      <c r="K119" s="1" t="s">
        <v>9</v>
      </c>
      <c r="L119" s="1"/>
      <c r="M119" s="3">
        <v>0.75</v>
      </c>
      <c r="N119" s="1" t="s">
        <v>10</v>
      </c>
    </row>
    <row r="120" spans="1:15" x14ac:dyDescent="0.3">
      <c r="A120" s="2">
        <v>1</v>
      </c>
      <c r="B120" s="8" t="s">
        <v>59</v>
      </c>
      <c r="C120" s="4">
        <v>62</v>
      </c>
      <c r="D120" s="4">
        <v>57</v>
      </c>
      <c r="E120" s="4">
        <v>53</v>
      </c>
      <c r="F120" s="5"/>
      <c r="G120" s="6">
        <f>SUM(C120:E120)</f>
        <v>172</v>
      </c>
      <c r="H120" s="4">
        <f>AVERAGE(C120:E120)</f>
        <v>57.333333333333336</v>
      </c>
      <c r="I120" s="4">
        <f>G120/12</f>
        <v>14.333333333333334</v>
      </c>
      <c r="J120" s="5"/>
      <c r="K120" s="4">
        <v>54</v>
      </c>
      <c r="L120" s="4">
        <f>K120*3</f>
        <v>162</v>
      </c>
      <c r="M120" s="4">
        <f>L120/4</f>
        <v>40.5</v>
      </c>
      <c r="N120" s="4">
        <f>M120+I120</f>
        <v>54.833333333333336</v>
      </c>
    </row>
    <row r="121" spans="1:15" x14ac:dyDescent="0.3">
      <c r="A121" s="2">
        <v>2</v>
      </c>
      <c r="B121" s="8" t="s">
        <v>58</v>
      </c>
      <c r="C121" s="4">
        <v>53</v>
      </c>
      <c r="D121" s="4">
        <v>47</v>
      </c>
      <c r="E121" s="4">
        <v>50</v>
      </c>
      <c r="F121" s="5"/>
      <c r="G121" s="6">
        <f t="shared" ref="G121:G132" si="30">SUM(C121:E121)</f>
        <v>150</v>
      </c>
      <c r="H121" s="4">
        <f t="shared" ref="H121:H132" si="31">AVERAGE(C121:E121)</f>
        <v>50</v>
      </c>
      <c r="I121" s="4">
        <f t="shared" ref="I121:I132" si="32">G121/12</f>
        <v>12.5</v>
      </c>
      <c r="J121" s="5"/>
      <c r="K121" s="4">
        <v>52</v>
      </c>
      <c r="L121" s="4">
        <f t="shared" ref="L121:L132" si="33">K121*3</f>
        <v>156</v>
      </c>
      <c r="M121" s="4">
        <f t="shared" ref="M121:M132" si="34">L121/4</f>
        <v>39</v>
      </c>
      <c r="N121" s="4">
        <f t="shared" ref="N121:N132" si="35">M121+I121</f>
        <v>51.5</v>
      </c>
    </row>
    <row r="122" spans="1:15" x14ac:dyDescent="0.3">
      <c r="A122" s="2">
        <v>3</v>
      </c>
      <c r="B122" s="8" t="s">
        <v>56</v>
      </c>
      <c r="C122" s="4">
        <v>49</v>
      </c>
      <c r="D122" s="4">
        <v>42</v>
      </c>
      <c r="E122" s="4">
        <v>48</v>
      </c>
      <c r="F122" s="5"/>
      <c r="G122" s="6">
        <f t="shared" si="30"/>
        <v>139</v>
      </c>
      <c r="H122" s="4">
        <f t="shared" si="31"/>
        <v>46.333333333333336</v>
      </c>
      <c r="I122" s="4">
        <f t="shared" si="32"/>
        <v>11.583333333333334</v>
      </c>
      <c r="J122" s="5"/>
      <c r="K122" s="4">
        <v>50</v>
      </c>
      <c r="L122" s="4">
        <f t="shared" si="33"/>
        <v>150</v>
      </c>
      <c r="M122" s="4">
        <f t="shared" si="34"/>
        <v>37.5</v>
      </c>
      <c r="N122" s="4">
        <f t="shared" si="35"/>
        <v>49.083333333333336</v>
      </c>
    </row>
    <row r="123" spans="1:15" x14ac:dyDescent="0.3">
      <c r="A123" s="2">
        <v>4</v>
      </c>
      <c r="B123" s="8" t="s">
        <v>53</v>
      </c>
      <c r="C123" s="4">
        <v>83</v>
      </c>
      <c r="D123" s="4">
        <v>78</v>
      </c>
      <c r="E123" s="4">
        <v>82</v>
      </c>
      <c r="F123" s="5"/>
      <c r="G123" s="6">
        <f t="shared" si="30"/>
        <v>243</v>
      </c>
      <c r="H123" s="4">
        <f t="shared" si="31"/>
        <v>81</v>
      </c>
      <c r="I123" s="4">
        <f t="shared" si="32"/>
        <v>20.25</v>
      </c>
      <c r="J123" s="5"/>
      <c r="K123" s="4">
        <v>83</v>
      </c>
      <c r="L123" s="4">
        <f t="shared" si="33"/>
        <v>249</v>
      </c>
      <c r="M123" s="4">
        <f t="shared" si="34"/>
        <v>62.25</v>
      </c>
      <c r="N123" s="4">
        <f t="shared" si="35"/>
        <v>82.5</v>
      </c>
    </row>
    <row r="124" spans="1:15" x14ac:dyDescent="0.3">
      <c r="A124" s="2">
        <v>5</v>
      </c>
      <c r="B124" s="8" t="s">
        <v>61</v>
      </c>
      <c r="C124" s="4">
        <v>69</v>
      </c>
      <c r="D124" s="4">
        <v>58</v>
      </c>
      <c r="E124" s="4">
        <v>65</v>
      </c>
      <c r="F124" s="5"/>
      <c r="G124" s="6">
        <f t="shared" si="30"/>
        <v>192</v>
      </c>
      <c r="H124" s="4">
        <f t="shared" si="31"/>
        <v>64</v>
      </c>
      <c r="I124" s="4">
        <f t="shared" si="32"/>
        <v>16</v>
      </c>
      <c r="J124" s="5"/>
      <c r="K124" s="4">
        <v>62</v>
      </c>
      <c r="L124" s="4">
        <f t="shared" si="33"/>
        <v>186</v>
      </c>
      <c r="M124" s="4">
        <f t="shared" si="34"/>
        <v>46.5</v>
      </c>
      <c r="N124" s="4">
        <f t="shared" si="35"/>
        <v>62.5</v>
      </c>
    </row>
    <row r="125" spans="1:15" x14ac:dyDescent="0.3">
      <c r="A125" s="2">
        <v>6</v>
      </c>
      <c r="B125" s="8" t="s">
        <v>54</v>
      </c>
      <c r="C125" s="4">
        <v>83</v>
      </c>
      <c r="D125" s="4">
        <v>77</v>
      </c>
      <c r="E125" s="4">
        <v>80</v>
      </c>
      <c r="F125" s="5"/>
      <c r="G125" s="6">
        <f t="shared" si="30"/>
        <v>240</v>
      </c>
      <c r="H125" s="4">
        <f t="shared" si="31"/>
        <v>80</v>
      </c>
      <c r="I125" s="4">
        <f t="shared" si="32"/>
        <v>20</v>
      </c>
      <c r="J125" s="5"/>
      <c r="K125" s="4">
        <v>81</v>
      </c>
      <c r="L125" s="4">
        <f t="shared" si="33"/>
        <v>243</v>
      </c>
      <c r="M125" s="4">
        <f t="shared" si="34"/>
        <v>60.75</v>
      </c>
      <c r="N125" s="4">
        <f t="shared" si="35"/>
        <v>80.75</v>
      </c>
    </row>
    <row r="126" spans="1:15" x14ac:dyDescent="0.3">
      <c r="A126" s="2">
        <v>7</v>
      </c>
      <c r="B126" s="8" t="s">
        <v>51</v>
      </c>
      <c r="C126" s="4">
        <v>77</v>
      </c>
      <c r="D126" s="4">
        <v>74</v>
      </c>
      <c r="E126" s="4">
        <v>75</v>
      </c>
      <c r="F126" s="5"/>
      <c r="G126" s="6">
        <f t="shared" si="30"/>
        <v>226</v>
      </c>
      <c r="H126" s="4">
        <f t="shared" si="31"/>
        <v>75.333333333333329</v>
      </c>
      <c r="I126" s="4">
        <f t="shared" si="32"/>
        <v>18.833333333333332</v>
      </c>
      <c r="J126" s="5"/>
      <c r="K126" s="4">
        <v>74</v>
      </c>
      <c r="L126" s="4">
        <f t="shared" si="33"/>
        <v>222</v>
      </c>
      <c r="M126" s="4">
        <f t="shared" si="34"/>
        <v>55.5</v>
      </c>
      <c r="N126" s="4">
        <f t="shared" si="35"/>
        <v>74.333333333333329</v>
      </c>
    </row>
    <row r="127" spans="1:15" x14ac:dyDescent="0.3">
      <c r="A127" s="2">
        <v>8</v>
      </c>
      <c r="B127" s="8" t="s">
        <v>60</v>
      </c>
      <c r="C127" s="4">
        <v>69</v>
      </c>
      <c r="D127" s="4">
        <v>58</v>
      </c>
      <c r="E127" s="4">
        <v>58</v>
      </c>
      <c r="F127" s="5"/>
      <c r="G127" s="6">
        <f t="shared" si="30"/>
        <v>185</v>
      </c>
      <c r="H127" s="4">
        <f t="shared" si="31"/>
        <v>61.666666666666664</v>
      </c>
      <c r="I127" s="4">
        <f t="shared" si="32"/>
        <v>15.416666666666666</v>
      </c>
      <c r="J127" s="5"/>
      <c r="K127" s="4">
        <v>63</v>
      </c>
      <c r="L127" s="4">
        <f t="shared" si="33"/>
        <v>189</v>
      </c>
      <c r="M127" s="4">
        <f t="shared" si="34"/>
        <v>47.25</v>
      </c>
      <c r="N127" s="4">
        <f t="shared" si="35"/>
        <v>62.666666666666664</v>
      </c>
    </row>
    <row r="128" spans="1:15" x14ac:dyDescent="0.3">
      <c r="A128" s="2">
        <v>9</v>
      </c>
      <c r="B128" s="8" t="s">
        <v>55</v>
      </c>
      <c r="C128" s="4">
        <v>81</v>
      </c>
      <c r="D128" s="4">
        <v>80</v>
      </c>
      <c r="E128" s="4">
        <v>82</v>
      </c>
      <c r="F128" s="5"/>
      <c r="G128" s="6">
        <f t="shared" si="30"/>
        <v>243</v>
      </c>
      <c r="H128" s="4">
        <f t="shared" si="31"/>
        <v>81</v>
      </c>
      <c r="I128" s="4">
        <f t="shared" si="32"/>
        <v>20.25</v>
      </c>
      <c r="J128" s="5"/>
      <c r="K128" s="4">
        <v>80</v>
      </c>
      <c r="L128" s="4">
        <f t="shared" si="33"/>
        <v>240</v>
      </c>
      <c r="M128" s="4">
        <f t="shared" si="34"/>
        <v>60</v>
      </c>
      <c r="N128" s="4">
        <f t="shared" si="35"/>
        <v>80.25</v>
      </c>
    </row>
    <row r="129" spans="1:15" x14ac:dyDescent="0.3">
      <c r="A129" s="2">
        <v>10</v>
      </c>
      <c r="B129" s="8" t="s">
        <v>50</v>
      </c>
      <c r="C129" s="4">
        <v>86</v>
      </c>
      <c r="D129" s="4">
        <v>84</v>
      </c>
      <c r="E129" s="4">
        <v>88</v>
      </c>
      <c r="F129" s="5"/>
      <c r="G129" s="6">
        <f t="shared" si="30"/>
        <v>258</v>
      </c>
      <c r="H129" s="4">
        <f t="shared" si="31"/>
        <v>86</v>
      </c>
      <c r="I129" s="4">
        <f t="shared" si="32"/>
        <v>21.5</v>
      </c>
      <c r="J129" s="5"/>
      <c r="K129" s="4">
        <v>87</v>
      </c>
      <c r="L129" s="4">
        <f t="shared" si="33"/>
        <v>261</v>
      </c>
      <c r="M129" s="4">
        <f t="shared" si="34"/>
        <v>65.25</v>
      </c>
      <c r="N129" s="4">
        <f t="shared" si="35"/>
        <v>86.75</v>
      </c>
    </row>
    <row r="130" spans="1:15" x14ac:dyDescent="0.3">
      <c r="A130" s="2">
        <v>11</v>
      </c>
      <c r="B130" s="8" t="s">
        <v>57</v>
      </c>
      <c r="C130" s="4">
        <v>65</v>
      </c>
      <c r="D130" s="4">
        <v>52</v>
      </c>
      <c r="E130" s="4">
        <v>65</v>
      </c>
      <c r="F130" s="5"/>
      <c r="G130" s="6">
        <f t="shared" si="30"/>
        <v>182</v>
      </c>
      <c r="H130" s="4">
        <f t="shared" si="31"/>
        <v>60.666666666666664</v>
      </c>
      <c r="I130" s="4">
        <f t="shared" si="32"/>
        <v>15.166666666666666</v>
      </c>
      <c r="J130" s="5"/>
      <c r="K130" s="4">
        <v>62</v>
      </c>
      <c r="L130" s="4">
        <f t="shared" si="33"/>
        <v>186</v>
      </c>
      <c r="M130" s="4">
        <f t="shared" si="34"/>
        <v>46.5</v>
      </c>
      <c r="N130" s="4">
        <f t="shared" si="35"/>
        <v>61.666666666666664</v>
      </c>
    </row>
    <row r="131" spans="1:15" x14ac:dyDescent="0.3">
      <c r="A131" s="2">
        <v>12</v>
      </c>
      <c r="B131" s="8" t="s">
        <v>52</v>
      </c>
      <c r="C131" s="4">
        <v>82</v>
      </c>
      <c r="D131" s="4">
        <v>80</v>
      </c>
      <c r="E131" s="4">
        <v>81</v>
      </c>
      <c r="F131" s="5"/>
      <c r="G131" s="6">
        <f t="shared" si="30"/>
        <v>243</v>
      </c>
      <c r="H131" s="4">
        <f t="shared" si="31"/>
        <v>81</v>
      </c>
      <c r="I131" s="4">
        <f t="shared" si="32"/>
        <v>20.25</v>
      </c>
      <c r="J131" s="5"/>
      <c r="K131" s="4">
        <v>84</v>
      </c>
      <c r="L131" s="4">
        <f t="shared" si="33"/>
        <v>252</v>
      </c>
      <c r="M131" s="4">
        <f t="shared" si="34"/>
        <v>63</v>
      </c>
      <c r="N131" s="4">
        <f t="shared" si="35"/>
        <v>83.25</v>
      </c>
    </row>
    <row r="132" spans="1:15" x14ac:dyDescent="0.3">
      <c r="A132" s="2">
        <v>13</v>
      </c>
      <c r="B132" s="8" t="s">
        <v>49</v>
      </c>
      <c r="C132" s="4">
        <v>92</v>
      </c>
      <c r="D132" s="4">
        <v>88</v>
      </c>
      <c r="E132" s="4">
        <v>92</v>
      </c>
      <c r="F132" s="5"/>
      <c r="G132" s="6">
        <f t="shared" si="30"/>
        <v>272</v>
      </c>
      <c r="H132" s="4">
        <f t="shared" si="31"/>
        <v>90.666666666666671</v>
      </c>
      <c r="I132" s="4">
        <f t="shared" si="32"/>
        <v>22.666666666666668</v>
      </c>
      <c r="J132" s="5"/>
      <c r="K132" s="4">
        <v>92</v>
      </c>
      <c r="L132" s="4">
        <f t="shared" si="33"/>
        <v>276</v>
      </c>
      <c r="M132" s="4">
        <f t="shared" si="34"/>
        <v>69</v>
      </c>
      <c r="N132" s="4">
        <f t="shared" si="35"/>
        <v>91.666666666666671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48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25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8" t="s">
        <v>59</v>
      </c>
      <c r="C147" s="4">
        <v>52</v>
      </c>
      <c r="D147" s="4">
        <v>47</v>
      </c>
      <c r="E147" s="4">
        <v>44</v>
      </c>
      <c r="F147" s="5"/>
      <c r="G147" s="6">
        <f>SUM(C147:E147)</f>
        <v>143</v>
      </c>
      <c r="H147" s="4">
        <f>AVERAGE(C147:E147)</f>
        <v>47.666666666666664</v>
      </c>
      <c r="I147" s="4">
        <f>G147/12</f>
        <v>11.916666666666666</v>
      </c>
      <c r="J147" s="5"/>
      <c r="K147" s="4">
        <v>41</v>
      </c>
      <c r="L147" s="4">
        <f>K147*3</f>
        <v>123</v>
      </c>
      <c r="M147" s="4">
        <f>L147/4</f>
        <v>30.75</v>
      </c>
      <c r="N147" s="4">
        <f>M147+I147</f>
        <v>42.666666666666664</v>
      </c>
    </row>
    <row r="148" spans="1:14" x14ac:dyDescent="0.3">
      <c r="A148" s="2">
        <v>2</v>
      </c>
      <c r="B148" s="8" t="s">
        <v>58</v>
      </c>
      <c r="C148" s="4">
        <v>39</v>
      </c>
      <c r="D148" s="4">
        <v>53</v>
      </c>
      <c r="E148" s="4">
        <v>45</v>
      </c>
      <c r="F148" s="5"/>
      <c r="G148" s="6">
        <f t="shared" ref="G148:G159" si="36">SUM(C148:E148)</f>
        <v>137</v>
      </c>
      <c r="H148" s="4">
        <f t="shared" ref="H148:H159" si="37">AVERAGE(C148:E148)</f>
        <v>45.666666666666664</v>
      </c>
      <c r="I148" s="4">
        <f t="shared" ref="I148:I159" si="38">G148/12</f>
        <v>11.416666666666666</v>
      </c>
      <c r="J148" s="5"/>
      <c r="K148" s="4">
        <v>42</v>
      </c>
      <c r="L148" s="4">
        <f t="shared" ref="L148:L159" si="39">K148*3</f>
        <v>126</v>
      </c>
      <c r="M148" s="4">
        <f t="shared" ref="M148:M159" si="40">L148/4</f>
        <v>31.5</v>
      </c>
      <c r="N148" s="4">
        <f t="shared" ref="N148:N159" si="41">M148+I148</f>
        <v>42.916666666666664</v>
      </c>
    </row>
    <row r="149" spans="1:14" x14ac:dyDescent="0.3">
      <c r="A149" s="2">
        <v>3</v>
      </c>
      <c r="B149" s="8" t="s">
        <v>56</v>
      </c>
      <c r="C149" s="4">
        <v>42</v>
      </c>
      <c r="D149" s="4">
        <v>54</v>
      </c>
      <c r="E149" s="4">
        <v>50</v>
      </c>
      <c r="F149" s="5"/>
      <c r="G149" s="6">
        <f t="shared" si="36"/>
        <v>146</v>
      </c>
      <c r="H149" s="4">
        <f t="shared" si="37"/>
        <v>48.666666666666664</v>
      </c>
      <c r="I149" s="4">
        <f t="shared" si="38"/>
        <v>12.166666666666666</v>
      </c>
      <c r="J149" s="5"/>
      <c r="K149" s="4">
        <v>47</v>
      </c>
      <c r="L149" s="4">
        <f t="shared" si="39"/>
        <v>141</v>
      </c>
      <c r="M149" s="4">
        <f t="shared" si="40"/>
        <v>35.25</v>
      </c>
      <c r="N149" s="4">
        <f t="shared" si="41"/>
        <v>47.416666666666664</v>
      </c>
    </row>
    <row r="150" spans="1:14" x14ac:dyDescent="0.3">
      <c r="A150" s="2">
        <v>4</v>
      </c>
      <c r="B150" s="8" t="s">
        <v>53</v>
      </c>
      <c r="C150" s="4">
        <v>73</v>
      </c>
      <c r="D150" s="4">
        <v>72</v>
      </c>
      <c r="E150" s="4">
        <v>73</v>
      </c>
      <c r="F150" s="5"/>
      <c r="G150" s="6">
        <f t="shared" si="36"/>
        <v>218</v>
      </c>
      <c r="H150" s="4">
        <f t="shared" si="37"/>
        <v>72.666666666666671</v>
      </c>
      <c r="I150" s="4">
        <f t="shared" si="38"/>
        <v>18.166666666666668</v>
      </c>
      <c r="J150" s="5"/>
      <c r="K150" s="4">
        <v>70</v>
      </c>
      <c r="L150" s="4">
        <f t="shared" si="39"/>
        <v>210</v>
      </c>
      <c r="M150" s="4">
        <f t="shared" si="40"/>
        <v>52.5</v>
      </c>
      <c r="N150" s="4">
        <f t="shared" si="41"/>
        <v>70.666666666666671</v>
      </c>
    </row>
    <row r="151" spans="1:14" x14ac:dyDescent="0.3">
      <c r="A151" s="2">
        <v>5</v>
      </c>
      <c r="B151" s="8" t="s">
        <v>61</v>
      </c>
      <c r="C151" s="4">
        <v>55</v>
      </c>
      <c r="D151" s="4">
        <v>54</v>
      </c>
      <c r="E151" s="4">
        <v>58</v>
      </c>
      <c r="F151" s="5"/>
      <c r="G151" s="6">
        <f t="shared" si="36"/>
        <v>167</v>
      </c>
      <c r="H151" s="4">
        <f t="shared" si="37"/>
        <v>55.666666666666664</v>
      </c>
      <c r="I151" s="4">
        <f t="shared" si="38"/>
        <v>13.916666666666666</v>
      </c>
      <c r="J151" s="5"/>
      <c r="K151" s="4">
        <v>55</v>
      </c>
      <c r="L151" s="4">
        <f t="shared" si="39"/>
        <v>165</v>
      </c>
      <c r="M151" s="4">
        <f t="shared" si="40"/>
        <v>41.25</v>
      </c>
      <c r="N151" s="4">
        <f t="shared" si="41"/>
        <v>55.166666666666664</v>
      </c>
    </row>
    <row r="152" spans="1:14" x14ac:dyDescent="0.3">
      <c r="A152" s="2">
        <v>6</v>
      </c>
      <c r="B152" s="8" t="s">
        <v>54</v>
      </c>
      <c r="C152" s="4">
        <v>76</v>
      </c>
      <c r="D152" s="4">
        <v>76</v>
      </c>
      <c r="E152" s="4">
        <v>72</v>
      </c>
      <c r="F152" s="5"/>
      <c r="G152" s="6">
        <f t="shared" si="36"/>
        <v>224</v>
      </c>
      <c r="H152" s="4">
        <f t="shared" si="37"/>
        <v>74.666666666666671</v>
      </c>
      <c r="I152" s="4">
        <f t="shared" si="38"/>
        <v>18.666666666666668</v>
      </c>
      <c r="J152" s="5"/>
      <c r="K152" s="4">
        <v>72</v>
      </c>
      <c r="L152" s="4">
        <f t="shared" si="39"/>
        <v>216</v>
      </c>
      <c r="M152" s="4">
        <f t="shared" si="40"/>
        <v>54</v>
      </c>
      <c r="N152" s="4">
        <f t="shared" si="41"/>
        <v>72.666666666666671</v>
      </c>
    </row>
    <row r="153" spans="1:14" x14ac:dyDescent="0.3">
      <c r="A153" s="2">
        <v>7</v>
      </c>
      <c r="B153" s="8" t="s">
        <v>51</v>
      </c>
      <c r="C153" s="4">
        <v>72</v>
      </c>
      <c r="D153" s="4">
        <v>70</v>
      </c>
      <c r="E153" s="4">
        <v>62</v>
      </c>
      <c r="F153" s="5"/>
      <c r="G153" s="6">
        <f t="shared" si="36"/>
        <v>204</v>
      </c>
      <c r="H153" s="4">
        <f t="shared" si="37"/>
        <v>68</v>
      </c>
      <c r="I153" s="4">
        <f t="shared" si="38"/>
        <v>17</v>
      </c>
      <c r="J153" s="5"/>
      <c r="K153" s="4">
        <v>72</v>
      </c>
      <c r="L153" s="4">
        <f t="shared" si="39"/>
        <v>216</v>
      </c>
      <c r="M153" s="4">
        <f t="shared" si="40"/>
        <v>54</v>
      </c>
      <c r="N153" s="4">
        <f t="shared" si="41"/>
        <v>71</v>
      </c>
    </row>
    <row r="154" spans="1:14" x14ac:dyDescent="0.3">
      <c r="A154" s="2">
        <v>8</v>
      </c>
      <c r="B154" s="8" t="s">
        <v>60</v>
      </c>
      <c r="C154" s="4">
        <v>53</v>
      </c>
      <c r="D154" s="4">
        <v>51</v>
      </c>
      <c r="E154" s="4">
        <v>54</v>
      </c>
      <c r="F154" s="5"/>
      <c r="G154" s="6">
        <f t="shared" si="36"/>
        <v>158</v>
      </c>
      <c r="H154" s="4">
        <f t="shared" si="37"/>
        <v>52.666666666666664</v>
      </c>
      <c r="I154" s="4">
        <f t="shared" si="38"/>
        <v>13.166666666666666</v>
      </c>
      <c r="J154" s="5"/>
      <c r="K154" s="4">
        <v>52</v>
      </c>
      <c r="L154" s="4">
        <f t="shared" si="39"/>
        <v>156</v>
      </c>
      <c r="M154" s="4">
        <f t="shared" si="40"/>
        <v>39</v>
      </c>
      <c r="N154" s="4">
        <f t="shared" si="41"/>
        <v>52.166666666666664</v>
      </c>
    </row>
    <row r="155" spans="1:14" x14ac:dyDescent="0.3">
      <c r="A155" s="2">
        <v>9</v>
      </c>
      <c r="B155" s="8" t="s">
        <v>55</v>
      </c>
      <c r="C155" s="4">
        <v>71</v>
      </c>
      <c r="D155" s="4">
        <v>75</v>
      </c>
      <c r="E155" s="4">
        <v>71</v>
      </c>
      <c r="F155" s="5"/>
      <c r="G155" s="6">
        <f t="shared" si="36"/>
        <v>217</v>
      </c>
      <c r="H155" s="4">
        <f t="shared" si="37"/>
        <v>72.333333333333329</v>
      </c>
      <c r="I155" s="4">
        <f t="shared" si="38"/>
        <v>18.083333333333332</v>
      </c>
      <c r="J155" s="5"/>
      <c r="K155" s="4">
        <v>70</v>
      </c>
      <c r="L155" s="4">
        <f t="shared" si="39"/>
        <v>210</v>
      </c>
      <c r="M155" s="4">
        <f t="shared" si="40"/>
        <v>52.5</v>
      </c>
      <c r="N155" s="4">
        <f t="shared" si="41"/>
        <v>70.583333333333329</v>
      </c>
    </row>
    <row r="156" spans="1:14" x14ac:dyDescent="0.3">
      <c r="A156" s="2">
        <v>10</v>
      </c>
      <c r="B156" s="8" t="s">
        <v>50</v>
      </c>
      <c r="C156" s="4">
        <v>77</v>
      </c>
      <c r="D156" s="4">
        <v>75</v>
      </c>
      <c r="E156" s="4">
        <v>76</v>
      </c>
      <c r="F156" s="5"/>
      <c r="G156" s="6">
        <f t="shared" si="36"/>
        <v>228</v>
      </c>
      <c r="H156" s="4">
        <f t="shared" si="37"/>
        <v>76</v>
      </c>
      <c r="I156" s="4">
        <f t="shared" si="38"/>
        <v>19</v>
      </c>
      <c r="J156" s="5"/>
      <c r="K156" s="4">
        <v>76</v>
      </c>
      <c r="L156" s="4">
        <f t="shared" si="39"/>
        <v>228</v>
      </c>
      <c r="M156" s="4">
        <f t="shared" si="40"/>
        <v>57</v>
      </c>
      <c r="N156" s="4">
        <f t="shared" si="41"/>
        <v>76</v>
      </c>
    </row>
    <row r="157" spans="1:14" x14ac:dyDescent="0.3">
      <c r="A157" s="2">
        <v>11</v>
      </c>
      <c r="B157" s="8" t="s">
        <v>57</v>
      </c>
      <c r="C157" s="4">
        <v>54</v>
      </c>
      <c r="D157" s="4">
        <v>51</v>
      </c>
      <c r="E157" s="4">
        <v>54</v>
      </c>
      <c r="F157" s="5"/>
      <c r="G157" s="6">
        <f t="shared" si="36"/>
        <v>159</v>
      </c>
      <c r="H157" s="4">
        <f t="shared" si="37"/>
        <v>53</v>
      </c>
      <c r="I157" s="4">
        <f t="shared" si="38"/>
        <v>13.25</v>
      </c>
      <c r="J157" s="5"/>
      <c r="K157" s="4">
        <v>55</v>
      </c>
      <c r="L157" s="4">
        <f t="shared" si="39"/>
        <v>165</v>
      </c>
      <c r="M157" s="4">
        <f t="shared" si="40"/>
        <v>41.25</v>
      </c>
      <c r="N157" s="4">
        <f t="shared" si="41"/>
        <v>54.5</v>
      </c>
    </row>
    <row r="158" spans="1:14" x14ac:dyDescent="0.3">
      <c r="A158" s="2">
        <v>12</v>
      </c>
      <c r="B158" s="8" t="s">
        <v>52</v>
      </c>
      <c r="C158" s="4">
        <v>77</v>
      </c>
      <c r="D158" s="4">
        <v>74</v>
      </c>
      <c r="E158" s="4">
        <v>73</v>
      </c>
      <c r="F158" s="5"/>
      <c r="G158" s="6">
        <f t="shared" si="36"/>
        <v>224</v>
      </c>
      <c r="H158" s="4">
        <f t="shared" si="37"/>
        <v>74.666666666666671</v>
      </c>
      <c r="I158" s="4">
        <f t="shared" si="38"/>
        <v>18.666666666666668</v>
      </c>
      <c r="J158" s="5"/>
      <c r="K158" s="4">
        <v>75</v>
      </c>
      <c r="L158" s="4">
        <f t="shared" si="39"/>
        <v>225</v>
      </c>
      <c r="M158" s="4">
        <f t="shared" si="40"/>
        <v>56.25</v>
      </c>
      <c r="N158" s="4">
        <f t="shared" si="41"/>
        <v>74.916666666666671</v>
      </c>
    </row>
    <row r="159" spans="1:14" x14ac:dyDescent="0.3">
      <c r="A159" s="2">
        <v>13</v>
      </c>
      <c r="B159" s="8" t="s">
        <v>49</v>
      </c>
      <c r="C159" s="4">
        <v>82</v>
      </c>
      <c r="D159" s="4">
        <v>80</v>
      </c>
      <c r="E159" s="4">
        <v>82</v>
      </c>
      <c r="F159" s="5"/>
      <c r="G159" s="6">
        <f t="shared" si="36"/>
        <v>244</v>
      </c>
      <c r="H159" s="4">
        <f t="shared" si="37"/>
        <v>81.333333333333329</v>
      </c>
      <c r="I159" s="4">
        <f t="shared" si="38"/>
        <v>20.333333333333332</v>
      </c>
      <c r="J159" s="5"/>
      <c r="K159" s="4">
        <v>82</v>
      </c>
      <c r="L159" s="4">
        <f t="shared" si="39"/>
        <v>246</v>
      </c>
      <c r="M159" s="4">
        <f t="shared" si="40"/>
        <v>61.5</v>
      </c>
      <c r="N159" s="4">
        <f t="shared" si="41"/>
        <v>81.833333333333329</v>
      </c>
    </row>
    <row r="162" spans="1:15" x14ac:dyDescent="0.3">
      <c r="A162" s="63" t="s">
        <v>0</v>
      </c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1:15" x14ac:dyDescent="0.3">
      <c r="A163" s="63" t="s">
        <v>1</v>
      </c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1:15" x14ac:dyDescent="0.3">
      <c r="A164" s="63" t="s">
        <v>48</v>
      </c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1:15" x14ac:dyDescent="0.3">
      <c r="B165" s="64" t="s">
        <v>26</v>
      </c>
      <c r="C165" s="64"/>
      <c r="D165" s="64"/>
    </row>
    <row r="166" spans="1:15" x14ac:dyDescent="0.3">
      <c r="C166" s="1" t="s">
        <v>4</v>
      </c>
      <c r="D166" s="1" t="s">
        <v>5</v>
      </c>
      <c r="E166" s="1" t="s">
        <v>6</v>
      </c>
      <c r="F166" s="1"/>
      <c r="G166" s="1" t="s">
        <v>7</v>
      </c>
      <c r="H166" s="1" t="s">
        <v>8</v>
      </c>
      <c r="I166" s="3">
        <v>0.25</v>
      </c>
      <c r="J166" s="1"/>
      <c r="K166" s="1" t="s">
        <v>9</v>
      </c>
      <c r="L166" s="1"/>
      <c r="M166" s="3">
        <v>0.75</v>
      </c>
      <c r="N166" s="1" t="s">
        <v>10</v>
      </c>
    </row>
    <row r="167" spans="1:15" x14ac:dyDescent="0.3">
      <c r="A167" s="2">
        <v>1</v>
      </c>
      <c r="B167" s="8" t="s">
        <v>59</v>
      </c>
      <c r="C167" s="4">
        <v>53</v>
      </c>
      <c r="D167" s="4">
        <v>40</v>
      </c>
      <c r="E167" s="4">
        <v>49</v>
      </c>
      <c r="F167" s="5"/>
      <c r="G167" s="6">
        <f>SUM(C167:E167)</f>
        <v>142</v>
      </c>
      <c r="H167" s="4">
        <f>AVERAGE(C167:E167)</f>
        <v>47.333333333333336</v>
      </c>
      <c r="I167" s="4">
        <f>G167/12</f>
        <v>11.833333333333334</v>
      </c>
      <c r="J167" s="5"/>
      <c r="K167" s="4">
        <v>45</v>
      </c>
      <c r="L167" s="4">
        <f>K167*3</f>
        <v>135</v>
      </c>
      <c r="M167" s="4">
        <f>L167/4</f>
        <v>33.75</v>
      </c>
      <c r="N167" s="4">
        <f>M167+I167</f>
        <v>45.583333333333336</v>
      </c>
    </row>
    <row r="168" spans="1:15" x14ac:dyDescent="0.3">
      <c r="A168" s="2">
        <v>2</v>
      </c>
      <c r="B168" s="8" t="s">
        <v>58</v>
      </c>
      <c r="C168" s="4">
        <v>39</v>
      </c>
      <c r="D168" s="4">
        <v>38</v>
      </c>
      <c r="E168" s="4">
        <v>53</v>
      </c>
      <c r="F168" s="5"/>
      <c r="G168" s="6">
        <f t="shared" ref="G168:G179" si="42">SUM(C168:E168)</f>
        <v>130</v>
      </c>
      <c r="H168" s="4">
        <f t="shared" ref="H168:H179" si="43">AVERAGE(C168:E168)</f>
        <v>43.333333333333336</v>
      </c>
      <c r="I168" s="4">
        <f t="shared" ref="I168:I179" si="44">G168/12</f>
        <v>10.833333333333334</v>
      </c>
      <c r="J168" s="5"/>
      <c r="K168" s="4">
        <v>41</v>
      </c>
      <c r="L168" s="4">
        <f t="shared" ref="L168:L179" si="45">K168*3</f>
        <v>123</v>
      </c>
      <c r="M168" s="4">
        <f t="shared" ref="M168:M179" si="46">L168/4</f>
        <v>30.75</v>
      </c>
      <c r="N168" s="4">
        <f t="shared" ref="N168:N179" si="47">M168+I168</f>
        <v>41.583333333333336</v>
      </c>
    </row>
    <row r="169" spans="1:15" x14ac:dyDescent="0.3">
      <c r="A169" s="2">
        <v>3</v>
      </c>
      <c r="B169" s="8" t="s">
        <v>56</v>
      </c>
      <c r="C169" s="4">
        <v>42</v>
      </c>
      <c r="D169" s="4">
        <v>45</v>
      </c>
      <c r="E169" s="4">
        <v>38</v>
      </c>
      <c r="F169" s="5"/>
      <c r="G169" s="6">
        <f t="shared" si="42"/>
        <v>125</v>
      </c>
      <c r="H169" s="4">
        <f t="shared" si="43"/>
        <v>41.666666666666664</v>
      </c>
      <c r="I169" s="4">
        <f t="shared" si="44"/>
        <v>10.416666666666666</v>
      </c>
      <c r="J169" s="5"/>
      <c r="K169" s="4">
        <v>48</v>
      </c>
      <c r="L169" s="4">
        <f t="shared" si="45"/>
        <v>144</v>
      </c>
      <c r="M169" s="4">
        <f t="shared" si="46"/>
        <v>36</v>
      </c>
      <c r="N169" s="4">
        <f t="shared" si="47"/>
        <v>46.416666666666664</v>
      </c>
    </row>
    <row r="170" spans="1:15" x14ac:dyDescent="0.3">
      <c r="A170" s="2">
        <v>4</v>
      </c>
      <c r="B170" s="8" t="s">
        <v>53</v>
      </c>
      <c r="C170" s="4">
        <v>71</v>
      </c>
      <c r="D170" s="4">
        <v>73</v>
      </c>
      <c r="E170" s="4">
        <v>73</v>
      </c>
      <c r="F170" s="5"/>
      <c r="G170" s="6">
        <f t="shared" si="42"/>
        <v>217</v>
      </c>
      <c r="H170" s="4">
        <f t="shared" si="43"/>
        <v>72.333333333333329</v>
      </c>
      <c r="I170" s="4">
        <f t="shared" si="44"/>
        <v>18.083333333333332</v>
      </c>
      <c r="J170" s="5"/>
      <c r="K170" s="4">
        <v>70</v>
      </c>
      <c r="L170" s="4">
        <f t="shared" si="45"/>
        <v>210</v>
      </c>
      <c r="M170" s="4">
        <f t="shared" si="46"/>
        <v>52.5</v>
      </c>
      <c r="N170" s="4">
        <f t="shared" si="47"/>
        <v>70.583333333333329</v>
      </c>
    </row>
    <row r="171" spans="1:15" x14ac:dyDescent="0.3">
      <c r="A171" s="2">
        <v>5</v>
      </c>
      <c r="B171" s="8" t="s">
        <v>61</v>
      </c>
      <c r="C171" s="4">
        <v>55</v>
      </c>
      <c r="D171" s="4">
        <v>57</v>
      </c>
      <c r="E171" s="4">
        <v>66</v>
      </c>
      <c r="F171" s="5"/>
      <c r="G171" s="6">
        <f t="shared" si="42"/>
        <v>178</v>
      </c>
      <c r="H171" s="4">
        <f t="shared" si="43"/>
        <v>59.333333333333336</v>
      </c>
      <c r="I171" s="4">
        <f t="shared" si="44"/>
        <v>14.833333333333334</v>
      </c>
      <c r="J171" s="5"/>
      <c r="K171" s="4">
        <v>61</v>
      </c>
      <c r="L171" s="4">
        <f t="shared" si="45"/>
        <v>183</v>
      </c>
      <c r="M171" s="4">
        <f t="shared" si="46"/>
        <v>45.75</v>
      </c>
      <c r="N171" s="4">
        <f t="shared" si="47"/>
        <v>60.583333333333336</v>
      </c>
    </row>
    <row r="172" spans="1:15" x14ac:dyDescent="0.3">
      <c r="A172" s="2">
        <v>6</v>
      </c>
      <c r="B172" s="8" t="s">
        <v>54</v>
      </c>
      <c r="C172" s="4">
        <v>75</v>
      </c>
      <c r="D172" s="4">
        <v>83</v>
      </c>
      <c r="E172" s="4">
        <v>82</v>
      </c>
      <c r="F172" s="5"/>
      <c r="G172" s="6">
        <f t="shared" si="42"/>
        <v>240</v>
      </c>
      <c r="H172" s="4">
        <f t="shared" si="43"/>
        <v>80</v>
      </c>
      <c r="I172" s="4">
        <f t="shared" si="44"/>
        <v>20</v>
      </c>
      <c r="J172" s="5"/>
      <c r="K172" s="4">
        <v>82</v>
      </c>
      <c r="L172" s="4">
        <f t="shared" si="45"/>
        <v>246</v>
      </c>
      <c r="M172" s="4">
        <f t="shared" si="46"/>
        <v>61.5</v>
      </c>
      <c r="N172" s="4">
        <f t="shared" si="47"/>
        <v>81.5</v>
      </c>
    </row>
    <row r="173" spans="1:15" x14ac:dyDescent="0.3">
      <c r="A173" s="2">
        <v>7</v>
      </c>
      <c r="B173" s="8" t="s">
        <v>51</v>
      </c>
      <c r="C173" s="4">
        <v>80</v>
      </c>
      <c r="D173" s="4">
        <v>77</v>
      </c>
      <c r="E173" s="4">
        <v>75</v>
      </c>
      <c r="F173" s="5"/>
      <c r="G173" s="6">
        <f t="shared" si="42"/>
        <v>232</v>
      </c>
      <c r="H173" s="4">
        <f t="shared" si="43"/>
        <v>77.333333333333329</v>
      </c>
      <c r="I173" s="4">
        <f t="shared" si="44"/>
        <v>19.333333333333332</v>
      </c>
      <c r="J173" s="5"/>
      <c r="K173" s="4">
        <v>81</v>
      </c>
      <c r="L173" s="4">
        <f t="shared" si="45"/>
        <v>243</v>
      </c>
      <c r="M173" s="4">
        <f t="shared" si="46"/>
        <v>60.75</v>
      </c>
      <c r="N173" s="4">
        <f t="shared" si="47"/>
        <v>80.083333333333329</v>
      </c>
    </row>
    <row r="174" spans="1:15" x14ac:dyDescent="0.3">
      <c r="A174" s="2">
        <v>8</v>
      </c>
      <c r="B174" s="8" t="s">
        <v>60</v>
      </c>
      <c r="C174" s="4">
        <v>65</v>
      </c>
      <c r="D174" s="4">
        <v>58</v>
      </c>
      <c r="E174" s="4">
        <v>69</v>
      </c>
      <c r="F174" s="5"/>
      <c r="G174" s="6">
        <f t="shared" si="42"/>
        <v>192</v>
      </c>
      <c r="H174" s="4">
        <f t="shared" si="43"/>
        <v>64</v>
      </c>
      <c r="I174" s="4">
        <f t="shared" si="44"/>
        <v>16</v>
      </c>
      <c r="J174" s="5"/>
      <c r="K174" s="4">
        <v>62</v>
      </c>
      <c r="L174" s="4">
        <f t="shared" si="45"/>
        <v>186</v>
      </c>
      <c r="M174" s="4">
        <f t="shared" si="46"/>
        <v>46.5</v>
      </c>
      <c r="N174" s="4">
        <f t="shared" si="47"/>
        <v>62.5</v>
      </c>
    </row>
    <row r="175" spans="1:15" x14ac:dyDescent="0.3">
      <c r="A175" s="2">
        <v>9</v>
      </c>
      <c r="B175" s="8" t="s">
        <v>55</v>
      </c>
      <c r="C175" s="4">
        <v>81</v>
      </c>
      <c r="D175" s="4">
        <v>82</v>
      </c>
      <c r="E175" s="4">
        <v>79</v>
      </c>
      <c r="F175" s="5"/>
      <c r="G175" s="6">
        <f t="shared" si="42"/>
        <v>242</v>
      </c>
      <c r="H175" s="4">
        <f t="shared" si="43"/>
        <v>80.666666666666671</v>
      </c>
      <c r="I175" s="4">
        <f t="shared" si="44"/>
        <v>20.166666666666668</v>
      </c>
      <c r="J175" s="5"/>
      <c r="K175" s="4">
        <v>82</v>
      </c>
      <c r="L175" s="4">
        <f t="shared" si="45"/>
        <v>246</v>
      </c>
      <c r="M175" s="4">
        <f t="shared" si="46"/>
        <v>61.5</v>
      </c>
      <c r="N175" s="4">
        <f t="shared" si="47"/>
        <v>81.666666666666671</v>
      </c>
    </row>
    <row r="176" spans="1:15" x14ac:dyDescent="0.3">
      <c r="A176" s="2">
        <v>10</v>
      </c>
      <c r="B176" s="8" t="s">
        <v>50</v>
      </c>
      <c r="C176" s="4">
        <v>83</v>
      </c>
      <c r="D176" s="4">
        <v>86</v>
      </c>
      <c r="E176" s="4">
        <v>84</v>
      </c>
      <c r="F176" s="5"/>
      <c r="G176" s="6">
        <f t="shared" si="42"/>
        <v>253</v>
      </c>
      <c r="H176" s="4">
        <f t="shared" si="43"/>
        <v>84.333333333333329</v>
      </c>
      <c r="I176" s="4">
        <f t="shared" si="44"/>
        <v>21.083333333333332</v>
      </c>
      <c r="J176" s="5"/>
      <c r="K176" s="4">
        <v>86</v>
      </c>
      <c r="L176" s="4">
        <f t="shared" si="45"/>
        <v>258</v>
      </c>
      <c r="M176" s="4">
        <f t="shared" si="46"/>
        <v>64.5</v>
      </c>
      <c r="N176" s="4">
        <f t="shared" si="47"/>
        <v>85.583333333333329</v>
      </c>
    </row>
    <row r="177" spans="1:14" x14ac:dyDescent="0.3">
      <c r="A177" s="2">
        <v>11</v>
      </c>
      <c r="B177" s="8" t="s">
        <v>57</v>
      </c>
      <c r="C177" s="4">
        <v>65</v>
      </c>
      <c r="D177" s="4">
        <v>58</v>
      </c>
      <c r="E177" s="4">
        <v>69</v>
      </c>
      <c r="F177" s="5"/>
      <c r="G177" s="6">
        <f t="shared" si="42"/>
        <v>192</v>
      </c>
      <c r="H177" s="4">
        <f t="shared" si="43"/>
        <v>64</v>
      </c>
      <c r="I177" s="4">
        <f t="shared" si="44"/>
        <v>16</v>
      </c>
      <c r="J177" s="5"/>
      <c r="K177" s="4">
        <v>56</v>
      </c>
      <c r="L177" s="4">
        <f t="shared" si="45"/>
        <v>168</v>
      </c>
      <c r="M177" s="4">
        <f t="shared" si="46"/>
        <v>42</v>
      </c>
      <c r="N177" s="4">
        <f t="shared" si="47"/>
        <v>58</v>
      </c>
    </row>
    <row r="178" spans="1:14" x14ac:dyDescent="0.3">
      <c r="A178" s="2">
        <v>12</v>
      </c>
      <c r="B178" s="8" t="s">
        <v>52</v>
      </c>
      <c r="C178" s="4">
        <v>74</v>
      </c>
      <c r="D178" s="4">
        <v>77</v>
      </c>
      <c r="E178" s="4">
        <v>77</v>
      </c>
      <c r="F178" s="5"/>
      <c r="G178" s="6">
        <f t="shared" si="42"/>
        <v>228</v>
      </c>
      <c r="H178" s="4">
        <f t="shared" si="43"/>
        <v>76</v>
      </c>
      <c r="I178" s="4">
        <f t="shared" si="44"/>
        <v>19</v>
      </c>
      <c r="J178" s="5"/>
      <c r="K178" s="4">
        <v>77</v>
      </c>
      <c r="L178" s="4">
        <f t="shared" si="45"/>
        <v>231</v>
      </c>
      <c r="M178" s="4">
        <f t="shared" si="46"/>
        <v>57.75</v>
      </c>
      <c r="N178" s="4">
        <f t="shared" si="47"/>
        <v>76.75</v>
      </c>
    </row>
    <row r="179" spans="1:14" x14ac:dyDescent="0.3">
      <c r="A179" s="2">
        <v>13</v>
      </c>
      <c r="B179" s="8" t="s">
        <v>49</v>
      </c>
      <c r="C179" s="4">
        <v>88</v>
      </c>
      <c r="D179" s="4">
        <v>89</v>
      </c>
      <c r="E179" s="4">
        <v>87</v>
      </c>
      <c r="F179" s="5"/>
      <c r="G179" s="6">
        <f t="shared" si="42"/>
        <v>264</v>
      </c>
      <c r="H179" s="4">
        <f t="shared" si="43"/>
        <v>88</v>
      </c>
      <c r="I179" s="4">
        <f t="shared" si="44"/>
        <v>22</v>
      </c>
      <c r="J179" s="5"/>
      <c r="K179" s="4">
        <v>90</v>
      </c>
      <c r="L179" s="4">
        <f t="shared" si="45"/>
        <v>270</v>
      </c>
      <c r="M179" s="4">
        <f t="shared" si="46"/>
        <v>67.5</v>
      </c>
      <c r="N179" s="4">
        <f t="shared" si="47"/>
        <v>89.5</v>
      </c>
    </row>
  </sheetData>
  <sortState ref="B6:B18">
    <sortCondition ref="B6"/>
  </sortState>
  <mergeCells count="32">
    <mergeCell ref="A164:O164"/>
    <mergeCell ref="B165:D165"/>
    <mergeCell ref="A142:O142"/>
    <mergeCell ref="A143:O143"/>
    <mergeCell ref="A144:O144"/>
    <mergeCell ref="B145:D145"/>
    <mergeCell ref="A162:O162"/>
    <mergeCell ref="A163:O163"/>
    <mergeCell ref="A115:O115"/>
    <mergeCell ref="A116:O116"/>
    <mergeCell ref="A117:O117"/>
    <mergeCell ref="B118:D118"/>
    <mergeCell ref="A95:O95"/>
    <mergeCell ref="A96:O96"/>
    <mergeCell ref="A97:O97"/>
    <mergeCell ref="B98:D98"/>
    <mergeCell ref="A68:O68"/>
    <mergeCell ref="A69:O69"/>
    <mergeCell ref="A70:O70"/>
    <mergeCell ref="B71:D71"/>
    <mergeCell ref="A48:O48"/>
    <mergeCell ref="A49:O49"/>
    <mergeCell ref="A50:O50"/>
    <mergeCell ref="B51:D51"/>
    <mergeCell ref="A21:O21"/>
    <mergeCell ref="A22:O22"/>
    <mergeCell ref="A23:O23"/>
    <mergeCell ref="B24:D24"/>
    <mergeCell ref="A1:O1"/>
    <mergeCell ref="A2:O2"/>
    <mergeCell ref="A3:O3"/>
    <mergeCell ref="B4:D4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10"/>
  <sheetViews>
    <sheetView topLeftCell="A191" workbookViewId="0">
      <selection activeCell="K194" sqref="K194:K209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27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8" t="s">
        <v>34</v>
      </c>
      <c r="C6" s="4">
        <v>75</v>
      </c>
      <c r="D6" s="4">
        <v>70</v>
      </c>
      <c r="E6" s="4">
        <v>53</v>
      </c>
      <c r="F6" s="5"/>
      <c r="G6" s="6">
        <f>SUM(C6:E6)</f>
        <v>198</v>
      </c>
      <c r="H6" s="4">
        <f>AVERAGE(C6:E6)</f>
        <v>66</v>
      </c>
      <c r="I6" s="4">
        <f>G6/12</f>
        <v>16.5</v>
      </c>
      <c r="J6" s="5"/>
      <c r="K6" s="4">
        <v>65</v>
      </c>
      <c r="L6" s="4">
        <f>K6*3</f>
        <v>195</v>
      </c>
      <c r="M6" s="4">
        <f>L6/4</f>
        <v>48.75</v>
      </c>
      <c r="N6" s="4">
        <f>M6+I6</f>
        <v>65.25</v>
      </c>
    </row>
    <row r="7" spans="1:15" x14ac:dyDescent="0.3">
      <c r="A7" s="2">
        <v>2</v>
      </c>
      <c r="B7" s="8" t="s">
        <v>39</v>
      </c>
      <c r="C7" s="4">
        <v>65</v>
      </c>
      <c r="D7" s="4">
        <v>63</v>
      </c>
      <c r="E7" s="4">
        <v>59</v>
      </c>
      <c r="F7" s="5"/>
      <c r="G7" s="6">
        <f t="shared" ref="G7:G21" si="0">SUM(C7:E7)</f>
        <v>187</v>
      </c>
      <c r="H7" s="4">
        <f t="shared" ref="H7:H21" si="1">AVERAGE(C7:E7)</f>
        <v>62.333333333333336</v>
      </c>
      <c r="I7" s="4">
        <f t="shared" ref="I7:I21" si="2">G7/12</f>
        <v>15.583333333333334</v>
      </c>
      <c r="J7" s="5"/>
      <c r="K7" s="4">
        <v>60</v>
      </c>
      <c r="L7" s="4">
        <f t="shared" ref="L7:L21" si="3">K7*3</f>
        <v>180</v>
      </c>
      <c r="M7" s="4">
        <f t="shared" ref="M7:M21" si="4">L7/4</f>
        <v>45</v>
      </c>
      <c r="N7" s="4">
        <f t="shared" ref="N7:N21" si="5">M7+I7</f>
        <v>60.583333333333336</v>
      </c>
    </row>
    <row r="8" spans="1:15" x14ac:dyDescent="0.3">
      <c r="A8" s="2">
        <v>3</v>
      </c>
      <c r="B8" s="8" t="s">
        <v>35</v>
      </c>
      <c r="C8" s="4">
        <v>62</v>
      </c>
      <c r="D8" s="4">
        <v>60</v>
      </c>
      <c r="E8" s="4">
        <v>57</v>
      </c>
      <c r="F8" s="5"/>
      <c r="G8" s="6">
        <f t="shared" si="0"/>
        <v>179</v>
      </c>
      <c r="H8" s="4">
        <f t="shared" si="1"/>
        <v>59.666666666666664</v>
      </c>
      <c r="I8" s="4">
        <f t="shared" si="2"/>
        <v>14.916666666666666</v>
      </c>
      <c r="J8" s="5"/>
      <c r="K8" s="4">
        <v>69</v>
      </c>
      <c r="L8" s="4">
        <f t="shared" si="3"/>
        <v>207</v>
      </c>
      <c r="M8" s="4">
        <f t="shared" si="4"/>
        <v>51.75</v>
      </c>
      <c r="N8" s="4">
        <f t="shared" si="5"/>
        <v>66.666666666666671</v>
      </c>
    </row>
    <row r="9" spans="1:15" x14ac:dyDescent="0.3">
      <c r="A9" s="2">
        <v>4</v>
      </c>
      <c r="B9" s="8" t="s">
        <v>33</v>
      </c>
      <c r="C9" s="4">
        <v>80</v>
      </c>
      <c r="D9" s="4">
        <v>82</v>
      </c>
      <c r="E9" s="4">
        <v>82</v>
      </c>
      <c r="F9" s="5"/>
      <c r="G9" s="6">
        <f t="shared" si="0"/>
        <v>244</v>
      </c>
      <c r="H9" s="4">
        <f t="shared" si="1"/>
        <v>81.333333333333329</v>
      </c>
      <c r="I9" s="4">
        <f t="shared" si="2"/>
        <v>20.333333333333332</v>
      </c>
      <c r="J9" s="5"/>
      <c r="K9" s="4">
        <v>83</v>
      </c>
      <c r="L9" s="4">
        <f t="shared" si="3"/>
        <v>249</v>
      </c>
      <c r="M9" s="4">
        <f t="shared" si="4"/>
        <v>62.25</v>
      </c>
      <c r="N9" s="4">
        <f t="shared" si="5"/>
        <v>82.583333333333329</v>
      </c>
    </row>
    <row r="10" spans="1:15" x14ac:dyDescent="0.3">
      <c r="A10" s="2">
        <v>5</v>
      </c>
      <c r="B10" s="8" t="s">
        <v>40</v>
      </c>
      <c r="C10" s="4">
        <v>71</v>
      </c>
      <c r="D10" s="4">
        <v>66</v>
      </c>
      <c r="E10" s="4">
        <v>62</v>
      </c>
      <c r="F10" s="5"/>
      <c r="G10" s="6">
        <f t="shared" si="0"/>
        <v>199</v>
      </c>
      <c r="H10" s="4">
        <f t="shared" si="1"/>
        <v>66.333333333333329</v>
      </c>
      <c r="I10" s="4">
        <f t="shared" si="2"/>
        <v>16.583333333333332</v>
      </c>
      <c r="J10" s="5"/>
      <c r="K10" s="4">
        <v>62</v>
      </c>
      <c r="L10" s="4">
        <f t="shared" si="3"/>
        <v>186</v>
      </c>
      <c r="M10" s="4">
        <f t="shared" si="4"/>
        <v>46.5</v>
      </c>
      <c r="N10" s="4">
        <f t="shared" si="5"/>
        <v>63.083333333333329</v>
      </c>
    </row>
    <row r="11" spans="1:15" x14ac:dyDescent="0.3">
      <c r="A11" s="2">
        <v>6</v>
      </c>
      <c r="B11" s="8" t="s">
        <v>43</v>
      </c>
      <c r="C11" s="4">
        <v>73</v>
      </c>
      <c r="D11" s="4">
        <v>69</v>
      </c>
      <c r="E11" s="4">
        <v>65</v>
      </c>
      <c r="F11" s="5"/>
      <c r="G11" s="6">
        <f t="shared" si="0"/>
        <v>207</v>
      </c>
      <c r="H11" s="4">
        <f t="shared" si="1"/>
        <v>69</v>
      </c>
      <c r="I11" s="4">
        <f t="shared" si="2"/>
        <v>17.25</v>
      </c>
      <c r="J11" s="5"/>
      <c r="K11" s="4">
        <v>68</v>
      </c>
      <c r="L11" s="4">
        <f t="shared" si="3"/>
        <v>204</v>
      </c>
      <c r="M11" s="4">
        <f t="shared" si="4"/>
        <v>51</v>
      </c>
      <c r="N11" s="4">
        <f t="shared" si="5"/>
        <v>68.25</v>
      </c>
    </row>
    <row r="12" spans="1:15" x14ac:dyDescent="0.3">
      <c r="A12" s="2">
        <v>7</v>
      </c>
      <c r="B12" s="8" t="s">
        <v>29</v>
      </c>
      <c r="C12" s="4">
        <v>84</v>
      </c>
      <c r="D12" s="4">
        <v>83</v>
      </c>
      <c r="E12" s="4">
        <v>84</v>
      </c>
      <c r="F12" s="5"/>
      <c r="G12" s="6">
        <f t="shared" si="0"/>
        <v>251</v>
      </c>
      <c r="H12" s="4">
        <f t="shared" si="1"/>
        <v>83.666666666666671</v>
      </c>
      <c r="I12" s="4">
        <f t="shared" si="2"/>
        <v>20.916666666666668</v>
      </c>
      <c r="J12" s="5"/>
      <c r="K12" s="4">
        <v>83</v>
      </c>
      <c r="L12" s="4">
        <f t="shared" si="3"/>
        <v>249</v>
      </c>
      <c r="M12" s="4">
        <f t="shared" si="4"/>
        <v>62.25</v>
      </c>
      <c r="N12" s="4">
        <f t="shared" si="5"/>
        <v>83.166666666666671</v>
      </c>
    </row>
    <row r="13" spans="1:15" x14ac:dyDescent="0.3">
      <c r="A13" s="2">
        <v>8</v>
      </c>
      <c r="B13" s="8" t="s">
        <v>37</v>
      </c>
      <c r="C13" s="4">
        <v>71</v>
      </c>
      <c r="D13" s="4">
        <v>65</v>
      </c>
      <c r="E13" s="4">
        <v>62</v>
      </c>
      <c r="F13" s="5"/>
      <c r="G13" s="6">
        <f t="shared" si="0"/>
        <v>198</v>
      </c>
      <c r="H13" s="4">
        <f t="shared" si="1"/>
        <v>66</v>
      </c>
      <c r="I13" s="4">
        <f t="shared" si="2"/>
        <v>16.5</v>
      </c>
      <c r="J13" s="5"/>
      <c r="K13" s="4">
        <v>65</v>
      </c>
      <c r="L13" s="4">
        <f t="shared" si="3"/>
        <v>195</v>
      </c>
      <c r="M13" s="4">
        <f t="shared" si="4"/>
        <v>48.75</v>
      </c>
      <c r="N13" s="4">
        <f t="shared" si="5"/>
        <v>65.25</v>
      </c>
    </row>
    <row r="14" spans="1:15" x14ac:dyDescent="0.3">
      <c r="A14" s="2">
        <v>9</v>
      </c>
      <c r="B14" s="8" t="s">
        <v>42</v>
      </c>
      <c r="C14" s="4">
        <v>55</v>
      </c>
      <c r="D14" s="4">
        <v>58</v>
      </c>
      <c r="E14" s="4">
        <v>59</v>
      </c>
      <c r="F14" s="5"/>
      <c r="G14" s="6">
        <f t="shared" si="0"/>
        <v>172</v>
      </c>
      <c r="H14" s="4">
        <f t="shared" si="1"/>
        <v>57.333333333333336</v>
      </c>
      <c r="I14" s="4">
        <f t="shared" si="2"/>
        <v>14.333333333333334</v>
      </c>
      <c r="J14" s="5"/>
      <c r="K14" s="4">
        <v>58</v>
      </c>
      <c r="L14" s="4">
        <f t="shared" si="3"/>
        <v>174</v>
      </c>
      <c r="M14" s="4">
        <f t="shared" si="4"/>
        <v>43.5</v>
      </c>
      <c r="N14" s="4">
        <f t="shared" si="5"/>
        <v>57.833333333333336</v>
      </c>
    </row>
    <row r="15" spans="1:15" x14ac:dyDescent="0.3">
      <c r="A15" s="2">
        <v>10</v>
      </c>
      <c r="B15" s="8" t="s">
        <v>38</v>
      </c>
      <c r="C15" s="4">
        <v>58</v>
      </c>
      <c r="D15" s="4">
        <v>52</v>
      </c>
      <c r="E15" s="4">
        <v>52</v>
      </c>
      <c r="F15" s="5"/>
      <c r="G15" s="6">
        <f t="shared" si="0"/>
        <v>162</v>
      </c>
      <c r="H15" s="4">
        <f t="shared" si="1"/>
        <v>54</v>
      </c>
      <c r="I15" s="4">
        <f t="shared" si="2"/>
        <v>13.5</v>
      </c>
      <c r="J15" s="5"/>
      <c r="K15" s="4">
        <v>52</v>
      </c>
      <c r="L15" s="4">
        <f t="shared" si="3"/>
        <v>156</v>
      </c>
      <c r="M15" s="4">
        <f t="shared" si="4"/>
        <v>39</v>
      </c>
      <c r="N15" s="4">
        <f t="shared" si="5"/>
        <v>52.5</v>
      </c>
    </row>
    <row r="16" spans="1:15" x14ac:dyDescent="0.3">
      <c r="A16" s="2">
        <v>11</v>
      </c>
      <c r="B16" s="8" t="s">
        <v>31</v>
      </c>
      <c r="C16" s="4">
        <v>84</v>
      </c>
      <c r="D16" s="4">
        <v>83</v>
      </c>
      <c r="E16" s="4">
        <v>81</v>
      </c>
      <c r="F16" s="5"/>
      <c r="G16" s="6">
        <f t="shared" si="0"/>
        <v>248</v>
      </c>
      <c r="H16" s="4">
        <f t="shared" si="1"/>
        <v>82.666666666666671</v>
      </c>
      <c r="I16" s="4">
        <f t="shared" si="2"/>
        <v>20.666666666666668</v>
      </c>
      <c r="J16" s="5"/>
      <c r="K16" s="4">
        <v>84</v>
      </c>
      <c r="L16" s="4">
        <f t="shared" si="3"/>
        <v>252</v>
      </c>
      <c r="M16" s="4">
        <f t="shared" si="4"/>
        <v>63</v>
      </c>
      <c r="N16" s="4">
        <f t="shared" si="5"/>
        <v>83.666666666666671</v>
      </c>
    </row>
    <row r="17" spans="1:15" x14ac:dyDescent="0.3">
      <c r="A17" s="2">
        <v>12</v>
      </c>
      <c r="B17" s="8" t="s">
        <v>30</v>
      </c>
      <c r="C17" s="4">
        <v>83</v>
      </c>
      <c r="D17" s="4">
        <v>82</v>
      </c>
      <c r="E17" s="4">
        <v>84</v>
      </c>
      <c r="F17" s="5"/>
      <c r="G17" s="6">
        <f t="shared" si="0"/>
        <v>249</v>
      </c>
      <c r="H17" s="4">
        <f t="shared" si="1"/>
        <v>83</v>
      </c>
      <c r="I17" s="4">
        <f t="shared" si="2"/>
        <v>20.75</v>
      </c>
      <c r="J17" s="5"/>
      <c r="K17" s="4">
        <v>82</v>
      </c>
      <c r="L17" s="4">
        <f t="shared" si="3"/>
        <v>246</v>
      </c>
      <c r="M17" s="4">
        <f t="shared" si="4"/>
        <v>61.5</v>
      </c>
      <c r="N17" s="4">
        <f t="shared" si="5"/>
        <v>82.25</v>
      </c>
    </row>
    <row r="18" spans="1:15" x14ac:dyDescent="0.3">
      <c r="A18" s="2">
        <v>13</v>
      </c>
      <c r="B18" s="8" t="s">
        <v>32</v>
      </c>
      <c r="C18" s="4">
        <v>60</v>
      </c>
      <c r="D18" s="4">
        <v>62</v>
      </c>
      <c r="E18" s="4">
        <v>69</v>
      </c>
      <c r="F18" s="5"/>
      <c r="G18" s="6">
        <f t="shared" si="0"/>
        <v>191</v>
      </c>
      <c r="H18" s="4">
        <f t="shared" si="1"/>
        <v>63.666666666666664</v>
      </c>
      <c r="I18" s="4">
        <f t="shared" si="2"/>
        <v>15.916666666666666</v>
      </c>
      <c r="J18" s="5"/>
      <c r="K18" s="4">
        <v>60</v>
      </c>
      <c r="L18" s="4">
        <f t="shared" si="3"/>
        <v>180</v>
      </c>
      <c r="M18" s="4">
        <f t="shared" si="4"/>
        <v>45</v>
      </c>
      <c r="N18" s="4">
        <f t="shared" si="5"/>
        <v>60.916666666666664</v>
      </c>
    </row>
    <row r="19" spans="1:15" x14ac:dyDescent="0.3">
      <c r="A19" s="2">
        <v>14</v>
      </c>
      <c r="B19" s="1" t="s">
        <v>36</v>
      </c>
      <c r="C19" s="4">
        <v>55</v>
      </c>
      <c r="D19" s="4">
        <v>72</v>
      </c>
      <c r="E19" s="4">
        <v>71</v>
      </c>
      <c r="F19" s="5"/>
      <c r="G19" s="6">
        <f t="shared" si="0"/>
        <v>198</v>
      </c>
      <c r="H19" s="4">
        <f t="shared" si="1"/>
        <v>66</v>
      </c>
      <c r="I19" s="4">
        <f t="shared" si="2"/>
        <v>16.5</v>
      </c>
      <c r="J19" s="5"/>
      <c r="K19" s="4">
        <v>69</v>
      </c>
      <c r="L19" s="4">
        <f t="shared" si="3"/>
        <v>207</v>
      </c>
      <c r="M19" s="4">
        <f t="shared" si="4"/>
        <v>51.75</v>
      </c>
      <c r="N19" s="4">
        <f t="shared" si="5"/>
        <v>68.25</v>
      </c>
    </row>
    <row r="20" spans="1:15" x14ac:dyDescent="0.3">
      <c r="A20" s="2">
        <v>15</v>
      </c>
      <c r="B20" s="1" t="s">
        <v>28</v>
      </c>
      <c r="C20" s="4">
        <v>93</v>
      </c>
      <c r="D20" s="4">
        <v>91</v>
      </c>
      <c r="E20" s="4">
        <v>93</v>
      </c>
      <c r="F20" s="5"/>
      <c r="G20" s="6">
        <f t="shared" si="0"/>
        <v>277</v>
      </c>
      <c r="H20" s="4">
        <f t="shared" si="1"/>
        <v>92.333333333333329</v>
      </c>
      <c r="I20" s="4">
        <f t="shared" si="2"/>
        <v>23.083333333333332</v>
      </c>
      <c r="J20" s="5"/>
      <c r="K20" s="4">
        <v>93</v>
      </c>
      <c r="L20" s="4">
        <f t="shared" si="3"/>
        <v>279</v>
      </c>
      <c r="M20" s="4">
        <f t="shared" si="4"/>
        <v>69.75</v>
      </c>
      <c r="N20" s="4">
        <f t="shared" si="5"/>
        <v>92.833333333333329</v>
      </c>
    </row>
    <row r="21" spans="1:15" x14ac:dyDescent="0.3">
      <c r="A21" s="2">
        <v>16</v>
      </c>
      <c r="B21" s="8" t="s">
        <v>41</v>
      </c>
      <c r="C21" s="4">
        <v>55</v>
      </c>
      <c r="D21" s="4">
        <v>66</v>
      </c>
      <c r="E21" s="4">
        <v>67</v>
      </c>
      <c r="F21" s="5"/>
      <c r="G21" s="6">
        <f t="shared" si="0"/>
        <v>188</v>
      </c>
      <c r="H21" s="4">
        <f t="shared" si="1"/>
        <v>62.666666666666664</v>
      </c>
      <c r="I21" s="4">
        <f t="shared" si="2"/>
        <v>15.666666666666666</v>
      </c>
      <c r="J21" s="5"/>
      <c r="K21" s="4">
        <v>69</v>
      </c>
      <c r="L21" s="4">
        <f t="shared" si="3"/>
        <v>207</v>
      </c>
      <c r="M21" s="4">
        <f t="shared" si="4"/>
        <v>51.75</v>
      </c>
      <c r="N21" s="4">
        <f t="shared" si="5"/>
        <v>67.416666666666671</v>
      </c>
    </row>
    <row r="22" spans="1:15" x14ac:dyDescent="0.3">
      <c r="F22" s="5"/>
    </row>
    <row r="25" spans="1:15" x14ac:dyDescent="0.3">
      <c r="A25" s="63" t="s">
        <v>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1:15" x14ac:dyDescent="0.3">
      <c r="A26" s="63" t="s">
        <v>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1:15" x14ac:dyDescent="0.3">
      <c r="A27" s="63" t="s">
        <v>27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 spans="1:15" x14ac:dyDescent="0.3">
      <c r="B28" s="64" t="s">
        <v>44</v>
      </c>
      <c r="C28" s="64"/>
      <c r="D28" s="64"/>
    </row>
    <row r="29" spans="1:15" x14ac:dyDescent="0.3">
      <c r="C29" s="1" t="s">
        <v>4</v>
      </c>
      <c r="D29" s="1" t="s">
        <v>5</v>
      </c>
      <c r="E29" s="1" t="s">
        <v>6</v>
      </c>
      <c r="F29" s="1"/>
      <c r="G29" s="1" t="s">
        <v>7</v>
      </c>
      <c r="H29" s="1" t="s">
        <v>8</v>
      </c>
      <c r="I29" s="3">
        <v>0.25</v>
      </c>
      <c r="J29" s="1"/>
      <c r="K29" s="1" t="s">
        <v>9</v>
      </c>
      <c r="L29" s="1"/>
      <c r="M29" s="3">
        <v>0.75</v>
      </c>
      <c r="N29" s="1" t="s">
        <v>10</v>
      </c>
    </row>
    <row r="30" spans="1:15" x14ac:dyDescent="0.3">
      <c r="A30" s="2">
        <v>1</v>
      </c>
      <c r="B30" s="8" t="s">
        <v>34</v>
      </c>
      <c r="C30" s="4">
        <v>74</v>
      </c>
      <c r="D30" s="4">
        <v>75</v>
      </c>
      <c r="E30" s="4">
        <v>75</v>
      </c>
      <c r="F30" s="5"/>
      <c r="G30" s="6">
        <f>SUM(C30:E30)</f>
        <v>224</v>
      </c>
      <c r="H30" s="4">
        <f>AVERAGE(C30:E30)</f>
        <v>74.666666666666671</v>
      </c>
      <c r="I30" s="4">
        <f>G30/12</f>
        <v>18.666666666666668</v>
      </c>
      <c r="J30" s="5"/>
      <c r="K30" s="4"/>
      <c r="L30" s="4">
        <f>K30*3</f>
        <v>0</v>
      </c>
      <c r="M30" s="4">
        <f>L30/4</f>
        <v>0</v>
      </c>
      <c r="N30" s="4">
        <f>M30+I30</f>
        <v>18.666666666666668</v>
      </c>
    </row>
    <row r="31" spans="1:15" x14ac:dyDescent="0.3">
      <c r="A31" s="2">
        <v>2</v>
      </c>
      <c r="B31" s="8" t="s">
        <v>39</v>
      </c>
      <c r="C31" s="4">
        <v>75</v>
      </c>
      <c r="D31" s="4">
        <v>76</v>
      </c>
      <c r="E31" s="4">
        <v>79</v>
      </c>
      <c r="F31" s="5"/>
      <c r="G31" s="6">
        <f t="shared" ref="G31:G45" si="6">SUM(C31:E31)</f>
        <v>230</v>
      </c>
      <c r="H31" s="4">
        <f t="shared" ref="H31:H45" si="7">AVERAGE(C31:E31)</f>
        <v>76.666666666666671</v>
      </c>
      <c r="I31" s="4">
        <f t="shared" ref="I31:I45" si="8">G31/12</f>
        <v>19.166666666666668</v>
      </c>
      <c r="J31" s="5"/>
      <c r="K31" s="4"/>
      <c r="L31" s="4">
        <f t="shared" ref="L31:L45" si="9">K31*3</f>
        <v>0</v>
      </c>
      <c r="M31" s="4">
        <f t="shared" ref="M31:M45" si="10">L31/4</f>
        <v>0</v>
      </c>
      <c r="N31" s="4">
        <f t="shared" ref="N31:N45" si="11">M31+I31</f>
        <v>19.166666666666668</v>
      </c>
    </row>
    <row r="32" spans="1:15" x14ac:dyDescent="0.3">
      <c r="A32" s="2">
        <v>3</v>
      </c>
      <c r="B32" s="8" t="s">
        <v>35</v>
      </c>
      <c r="C32" s="4">
        <v>69</v>
      </c>
      <c r="D32" s="4">
        <v>58</v>
      </c>
      <c r="E32" s="4">
        <v>69</v>
      </c>
      <c r="F32" s="5"/>
      <c r="G32" s="6">
        <f t="shared" si="6"/>
        <v>196</v>
      </c>
      <c r="H32" s="4">
        <f t="shared" si="7"/>
        <v>65.333333333333329</v>
      </c>
      <c r="I32" s="4">
        <f t="shared" si="8"/>
        <v>16.333333333333332</v>
      </c>
      <c r="J32" s="5"/>
      <c r="K32" s="4"/>
      <c r="L32" s="4">
        <f t="shared" si="9"/>
        <v>0</v>
      </c>
      <c r="M32" s="4">
        <f t="shared" si="10"/>
        <v>0</v>
      </c>
      <c r="N32" s="4">
        <f t="shared" si="11"/>
        <v>16.333333333333332</v>
      </c>
    </row>
    <row r="33" spans="1:15" x14ac:dyDescent="0.3">
      <c r="A33" s="2">
        <v>4</v>
      </c>
      <c r="B33" s="8" t="s">
        <v>33</v>
      </c>
      <c r="C33" s="4">
        <v>91</v>
      </c>
      <c r="D33" s="4">
        <v>88</v>
      </c>
      <c r="E33" s="4">
        <v>88</v>
      </c>
      <c r="F33" s="5"/>
      <c r="G33" s="6">
        <f t="shared" si="6"/>
        <v>267</v>
      </c>
      <c r="H33" s="4">
        <f t="shared" si="7"/>
        <v>89</v>
      </c>
      <c r="I33" s="4">
        <f t="shared" si="8"/>
        <v>22.25</v>
      </c>
      <c r="J33" s="5"/>
      <c r="K33" s="4"/>
      <c r="L33" s="4">
        <f t="shared" si="9"/>
        <v>0</v>
      </c>
      <c r="M33" s="4">
        <f t="shared" si="10"/>
        <v>0</v>
      </c>
      <c r="N33" s="4">
        <f t="shared" si="11"/>
        <v>22.25</v>
      </c>
    </row>
    <row r="34" spans="1:15" x14ac:dyDescent="0.3">
      <c r="A34" s="2">
        <v>5</v>
      </c>
      <c r="B34" s="8" t="s">
        <v>40</v>
      </c>
      <c r="C34" s="4">
        <v>92</v>
      </c>
      <c r="D34" s="4">
        <v>92</v>
      </c>
      <c r="E34" s="4">
        <v>89</v>
      </c>
      <c r="F34" s="5"/>
      <c r="G34" s="6">
        <f t="shared" si="6"/>
        <v>273</v>
      </c>
      <c r="H34" s="4">
        <f t="shared" si="7"/>
        <v>91</v>
      </c>
      <c r="I34" s="4">
        <f t="shared" si="8"/>
        <v>22.75</v>
      </c>
      <c r="J34" s="5"/>
      <c r="K34" s="4"/>
      <c r="L34" s="4">
        <f t="shared" si="9"/>
        <v>0</v>
      </c>
      <c r="M34" s="4">
        <f t="shared" si="10"/>
        <v>0</v>
      </c>
      <c r="N34" s="4">
        <f t="shared" si="11"/>
        <v>22.75</v>
      </c>
    </row>
    <row r="35" spans="1:15" x14ac:dyDescent="0.3">
      <c r="A35" s="2">
        <v>6</v>
      </c>
      <c r="B35" s="8" t="s">
        <v>43</v>
      </c>
      <c r="C35" s="4">
        <v>95</v>
      </c>
      <c r="D35" s="4">
        <v>89</v>
      </c>
      <c r="E35" s="4">
        <v>90</v>
      </c>
      <c r="F35" s="5"/>
      <c r="G35" s="6">
        <f t="shared" si="6"/>
        <v>274</v>
      </c>
      <c r="H35" s="4">
        <f t="shared" si="7"/>
        <v>91.333333333333329</v>
      </c>
      <c r="I35" s="4">
        <f t="shared" si="8"/>
        <v>22.833333333333332</v>
      </c>
      <c r="J35" s="5"/>
      <c r="K35" s="4"/>
      <c r="L35" s="4">
        <f t="shared" si="9"/>
        <v>0</v>
      </c>
      <c r="M35" s="4">
        <f t="shared" si="10"/>
        <v>0</v>
      </c>
      <c r="N35" s="4">
        <f t="shared" si="11"/>
        <v>22.833333333333332</v>
      </c>
    </row>
    <row r="36" spans="1:15" x14ac:dyDescent="0.3">
      <c r="A36" s="2">
        <v>7</v>
      </c>
      <c r="B36" s="8" t="s">
        <v>29</v>
      </c>
      <c r="C36" s="4">
        <v>95</v>
      </c>
      <c r="D36" s="4">
        <v>98</v>
      </c>
      <c r="E36" s="4">
        <v>99</v>
      </c>
      <c r="F36" s="5"/>
      <c r="G36" s="6">
        <f t="shared" si="6"/>
        <v>292</v>
      </c>
      <c r="H36" s="4">
        <f t="shared" si="7"/>
        <v>97.333333333333329</v>
      </c>
      <c r="I36" s="4">
        <f t="shared" si="8"/>
        <v>24.333333333333332</v>
      </c>
      <c r="J36" s="5"/>
      <c r="K36" s="4"/>
      <c r="L36" s="4">
        <f t="shared" si="9"/>
        <v>0</v>
      </c>
      <c r="M36" s="4">
        <f t="shared" si="10"/>
        <v>0</v>
      </c>
      <c r="N36" s="4">
        <f t="shared" si="11"/>
        <v>24.333333333333332</v>
      </c>
    </row>
    <row r="37" spans="1:15" x14ac:dyDescent="0.3">
      <c r="A37" s="2">
        <v>8</v>
      </c>
      <c r="B37" s="8" t="s">
        <v>37</v>
      </c>
      <c r="C37" s="4">
        <v>74</v>
      </c>
      <c r="D37" s="4">
        <v>77</v>
      </c>
      <c r="E37" s="4">
        <v>84</v>
      </c>
      <c r="F37" s="5"/>
      <c r="G37" s="6">
        <f t="shared" si="6"/>
        <v>235</v>
      </c>
      <c r="H37" s="4">
        <f t="shared" si="7"/>
        <v>78.333333333333329</v>
      </c>
      <c r="I37" s="4">
        <f t="shared" si="8"/>
        <v>19.583333333333332</v>
      </c>
      <c r="J37" s="5"/>
      <c r="K37" s="4"/>
      <c r="L37" s="4">
        <f t="shared" si="9"/>
        <v>0</v>
      </c>
      <c r="M37" s="4">
        <f t="shared" si="10"/>
        <v>0</v>
      </c>
      <c r="N37" s="4">
        <f t="shared" si="11"/>
        <v>19.583333333333332</v>
      </c>
    </row>
    <row r="38" spans="1:15" x14ac:dyDescent="0.3">
      <c r="A38" s="2">
        <v>9</v>
      </c>
      <c r="B38" s="8" t="s">
        <v>42</v>
      </c>
      <c r="C38" s="4">
        <v>73</v>
      </c>
      <c r="D38" s="4">
        <v>85</v>
      </c>
      <c r="E38" s="4">
        <v>86</v>
      </c>
      <c r="F38" s="5"/>
      <c r="G38" s="6">
        <f t="shared" si="6"/>
        <v>244</v>
      </c>
      <c r="H38" s="4">
        <f t="shared" si="7"/>
        <v>81.333333333333329</v>
      </c>
      <c r="I38" s="4">
        <f t="shared" si="8"/>
        <v>20.333333333333332</v>
      </c>
      <c r="J38" s="5"/>
      <c r="K38" s="4"/>
      <c r="L38" s="4">
        <f t="shared" si="9"/>
        <v>0</v>
      </c>
      <c r="M38" s="4">
        <f t="shared" si="10"/>
        <v>0</v>
      </c>
      <c r="N38" s="4">
        <f t="shared" si="11"/>
        <v>20.333333333333332</v>
      </c>
    </row>
    <row r="39" spans="1:15" x14ac:dyDescent="0.3">
      <c r="A39" s="2">
        <v>10</v>
      </c>
      <c r="B39" s="8" t="s">
        <v>38</v>
      </c>
      <c r="C39" s="4">
        <v>82</v>
      </c>
      <c r="D39" s="4">
        <v>80</v>
      </c>
      <c r="E39" s="4">
        <v>82</v>
      </c>
      <c r="F39" s="5"/>
      <c r="G39" s="6">
        <f t="shared" si="6"/>
        <v>244</v>
      </c>
      <c r="H39" s="4">
        <f t="shared" si="7"/>
        <v>81.333333333333329</v>
      </c>
      <c r="I39" s="4">
        <f t="shared" si="8"/>
        <v>20.333333333333332</v>
      </c>
      <c r="J39" s="5"/>
      <c r="K39" s="4"/>
      <c r="L39" s="4">
        <f t="shared" si="9"/>
        <v>0</v>
      </c>
      <c r="M39" s="4">
        <f t="shared" si="10"/>
        <v>0</v>
      </c>
      <c r="N39" s="4">
        <f t="shared" si="11"/>
        <v>20.333333333333332</v>
      </c>
    </row>
    <row r="40" spans="1:15" x14ac:dyDescent="0.3">
      <c r="A40" s="2">
        <v>11</v>
      </c>
      <c r="B40" s="8" t="s">
        <v>31</v>
      </c>
      <c r="C40" s="4">
        <v>96</v>
      </c>
      <c r="D40" s="4">
        <v>95</v>
      </c>
      <c r="E40" s="4">
        <v>96</v>
      </c>
      <c r="F40" s="5"/>
      <c r="G40" s="6">
        <f t="shared" si="6"/>
        <v>287</v>
      </c>
      <c r="H40" s="4">
        <f t="shared" si="7"/>
        <v>95.666666666666671</v>
      </c>
      <c r="I40" s="4">
        <f t="shared" si="8"/>
        <v>23.916666666666668</v>
      </c>
      <c r="J40" s="5"/>
      <c r="K40" s="4"/>
      <c r="L40" s="4">
        <f t="shared" si="9"/>
        <v>0</v>
      </c>
      <c r="M40" s="4">
        <f t="shared" si="10"/>
        <v>0</v>
      </c>
      <c r="N40" s="4">
        <f t="shared" si="11"/>
        <v>23.916666666666668</v>
      </c>
    </row>
    <row r="41" spans="1:15" x14ac:dyDescent="0.3">
      <c r="A41" s="2">
        <v>12</v>
      </c>
      <c r="B41" s="8" t="s">
        <v>30</v>
      </c>
      <c r="C41" s="4">
        <v>95</v>
      </c>
      <c r="D41" s="4">
        <v>92</v>
      </c>
      <c r="E41" s="4">
        <v>91</v>
      </c>
      <c r="F41" s="5"/>
      <c r="G41" s="6">
        <f t="shared" si="6"/>
        <v>278</v>
      </c>
      <c r="H41" s="4">
        <f t="shared" si="7"/>
        <v>92.666666666666671</v>
      </c>
      <c r="I41" s="4">
        <f t="shared" si="8"/>
        <v>23.166666666666668</v>
      </c>
      <c r="J41" s="5"/>
      <c r="K41" s="4"/>
      <c r="L41" s="4">
        <f t="shared" si="9"/>
        <v>0</v>
      </c>
      <c r="M41" s="4">
        <f t="shared" si="10"/>
        <v>0</v>
      </c>
      <c r="N41" s="4">
        <f t="shared" si="11"/>
        <v>23.166666666666668</v>
      </c>
    </row>
    <row r="42" spans="1:15" x14ac:dyDescent="0.3">
      <c r="A42" s="2">
        <v>13</v>
      </c>
      <c r="B42" s="8" t="s">
        <v>32</v>
      </c>
      <c r="C42" s="4">
        <v>77</v>
      </c>
      <c r="D42" s="4">
        <v>69</v>
      </c>
      <c r="E42" s="4">
        <v>77</v>
      </c>
      <c r="F42" s="5"/>
      <c r="G42" s="6">
        <f t="shared" si="6"/>
        <v>223</v>
      </c>
      <c r="H42" s="4">
        <f t="shared" si="7"/>
        <v>74.333333333333329</v>
      </c>
      <c r="I42" s="4">
        <f t="shared" si="8"/>
        <v>18.583333333333332</v>
      </c>
      <c r="J42" s="5"/>
      <c r="K42" s="4"/>
      <c r="L42" s="4">
        <f t="shared" si="9"/>
        <v>0</v>
      </c>
      <c r="M42" s="4">
        <f t="shared" si="10"/>
        <v>0</v>
      </c>
      <c r="N42" s="4">
        <f t="shared" si="11"/>
        <v>18.583333333333332</v>
      </c>
    </row>
    <row r="43" spans="1:15" x14ac:dyDescent="0.3">
      <c r="A43" s="2">
        <v>14</v>
      </c>
      <c r="B43" s="1" t="s">
        <v>36</v>
      </c>
      <c r="C43" s="4">
        <v>75</v>
      </c>
      <c r="D43" s="4">
        <v>75</v>
      </c>
      <c r="E43" s="4">
        <v>80</v>
      </c>
      <c r="F43" s="5"/>
      <c r="G43" s="6">
        <f t="shared" si="6"/>
        <v>230</v>
      </c>
      <c r="H43" s="4">
        <f t="shared" si="7"/>
        <v>76.666666666666671</v>
      </c>
      <c r="I43" s="4">
        <f t="shared" si="8"/>
        <v>19.166666666666668</v>
      </c>
      <c r="J43" s="5"/>
      <c r="K43" s="4"/>
      <c r="L43" s="4">
        <f t="shared" si="9"/>
        <v>0</v>
      </c>
      <c r="M43" s="4">
        <f t="shared" si="10"/>
        <v>0</v>
      </c>
      <c r="N43" s="4">
        <f t="shared" si="11"/>
        <v>19.166666666666668</v>
      </c>
    </row>
    <row r="44" spans="1:15" x14ac:dyDescent="0.3">
      <c r="A44" s="2">
        <v>15</v>
      </c>
      <c r="B44" s="1" t="s">
        <v>28</v>
      </c>
      <c r="C44" s="4">
        <v>98</v>
      </c>
      <c r="D44" s="4">
        <v>98</v>
      </c>
      <c r="E44" s="4">
        <v>98</v>
      </c>
      <c r="F44" s="5"/>
      <c r="G44" s="6">
        <f t="shared" si="6"/>
        <v>294</v>
      </c>
      <c r="H44" s="4">
        <f t="shared" si="7"/>
        <v>98</v>
      </c>
      <c r="I44" s="4">
        <f t="shared" si="8"/>
        <v>24.5</v>
      </c>
      <c r="J44" s="5"/>
      <c r="K44" s="4"/>
      <c r="L44" s="4">
        <f t="shared" si="9"/>
        <v>0</v>
      </c>
      <c r="M44" s="4">
        <f t="shared" si="10"/>
        <v>0</v>
      </c>
      <c r="N44" s="4">
        <f t="shared" si="11"/>
        <v>24.5</v>
      </c>
    </row>
    <row r="45" spans="1:15" x14ac:dyDescent="0.3">
      <c r="A45" s="2">
        <v>16</v>
      </c>
      <c r="B45" s="8" t="s">
        <v>41</v>
      </c>
      <c r="C45" s="4">
        <v>81</v>
      </c>
      <c r="D45" s="4">
        <v>79</v>
      </c>
      <c r="E45" s="4">
        <v>78</v>
      </c>
      <c r="F45" s="5"/>
      <c r="G45" s="6">
        <f t="shared" si="6"/>
        <v>238</v>
      </c>
      <c r="H45" s="4">
        <f t="shared" si="7"/>
        <v>79.333333333333329</v>
      </c>
      <c r="I45" s="4">
        <f t="shared" si="8"/>
        <v>19.833333333333332</v>
      </c>
      <c r="J45" s="5"/>
      <c r="K45" s="4"/>
      <c r="L45" s="4">
        <f t="shared" si="9"/>
        <v>0</v>
      </c>
      <c r="M45" s="4">
        <f t="shared" si="10"/>
        <v>0</v>
      </c>
      <c r="N45" s="4">
        <f t="shared" si="11"/>
        <v>19.833333333333332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27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45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8" t="s">
        <v>34</v>
      </c>
      <c r="C53" s="4">
        <v>62</v>
      </c>
      <c r="D53" s="4">
        <v>65</v>
      </c>
      <c r="E53" s="4">
        <v>62</v>
      </c>
      <c r="F53" s="5"/>
      <c r="G53" s="6">
        <f>SUM(C53:E53)</f>
        <v>189</v>
      </c>
      <c r="H53" s="4">
        <f>AVERAGE(C53:E53)</f>
        <v>63</v>
      </c>
      <c r="I53" s="4">
        <f>G53/12</f>
        <v>15.75</v>
      </c>
      <c r="J53" s="5"/>
      <c r="K53" s="4">
        <v>68</v>
      </c>
      <c r="L53" s="4">
        <f>K53*3</f>
        <v>204</v>
      </c>
      <c r="M53" s="4">
        <f>L53/4</f>
        <v>51</v>
      </c>
      <c r="N53" s="4">
        <f>M53+I53</f>
        <v>66.75</v>
      </c>
    </row>
    <row r="54" spans="1:15" x14ac:dyDescent="0.3">
      <c r="A54" s="2">
        <v>2</v>
      </c>
      <c r="B54" s="8" t="s">
        <v>39</v>
      </c>
      <c r="C54" s="4">
        <v>55</v>
      </c>
      <c r="D54" s="4">
        <v>58</v>
      </c>
      <c r="E54" s="4">
        <v>55</v>
      </c>
      <c r="F54" s="5"/>
      <c r="G54" s="6">
        <f t="shared" ref="G54:G68" si="12">SUM(C54:E54)</f>
        <v>168</v>
      </c>
      <c r="H54" s="4">
        <f t="shared" ref="H54:H68" si="13">AVERAGE(C54:E54)</f>
        <v>56</v>
      </c>
      <c r="I54" s="4">
        <f t="shared" ref="I54:I68" si="14">G54/12</f>
        <v>14</v>
      </c>
      <c r="J54" s="5"/>
      <c r="K54" s="4">
        <v>55</v>
      </c>
      <c r="L54" s="4">
        <f t="shared" ref="L54:L68" si="15">K54*3</f>
        <v>165</v>
      </c>
      <c r="M54" s="4">
        <f t="shared" ref="M54:M68" si="16">L54/4</f>
        <v>41.25</v>
      </c>
      <c r="N54" s="4">
        <f t="shared" ref="N54:N68" si="17">M54+I54</f>
        <v>55.25</v>
      </c>
    </row>
    <row r="55" spans="1:15" x14ac:dyDescent="0.3">
      <c r="A55" s="2">
        <v>3</v>
      </c>
      <c r="B55" s="8" t="s">
        <v>35</v>
      </c>
      <c r="C55" s="4">
        <v>58</v>
      </c>
      <c r="D55" s="4">
        <v>55</v>
      </c>
      <c r="E55" s="4">
        <v>60</v>
      </c>
      <c r="F55" s="5"/>
      <c r="G55" s="6">
        <f t="shared" si="12"/>
        <v>173</v>
      </c>
      <c r="H55" s="4">
        <f t="shared" si="13"/>
        <v>57.666666666666664</v>
      </c>
      <c r="I55" s="4">
        <f t="shared" si="14"/>
        <v>14.416666666666666</v>
      </c>
      <c r="J55" s="5"/>
      <c r="K55" s="4">
        <v>59</v>
      </c>
      <c r="L55" s="4">
        <f t="shared" si="15"/>
        <v>177</v>
      </c>
      <c r="M55" s="4">
        <f t="shared" si="16"/>
        <v>44.25</v>
      </c>
      <c r="N55" s="4">
        <f t="shared" si="17"/>
        <v>58.666666666666664</v>
      </c>
    </row>
    <row r="56" spans="1:15" x14ac:dyDescent="0.3">
      <c r="A56" s="2">
        <v>4</v>
      </c>
      <c r="B56" s="8" t="s">
        <v>33</v>
      </c>
      <c r="C56" s="4">
        <v>84</v>
      </c>
      <c r="D56" s="4">
        <v>83</v>
      </c>
      <c r="E56" s="4">
        <v>82</v>
      </c>
      <c r="F56" s="5"/>
      <c r="G56" s="6">
        <f t="shared" si="12"/>
        <v>249</v>
      </c>
      <c r="H56" s="4">
        <f t="shared" si="13"/>
        <v>83</v>
      </c>
      <c r="I56" s="4">
        <f t="shared" si="14"/>
        <v>20.75</v>
      </c>
      <c r="J56" s="5"/>
      <c r="K56" s="4">
        <v>82</v>
      </c>
      <c r="L56" s="4">
        <f t="shared" si="15"/>
        <v>246</v>
      </c>
      <c r="M56" s="4">
        <f t="shared" si="16"/>
        <v>61.5</v>
      </c>
      <c r="N56" s="4">
        <f t="shared" si="17"/>
        <v>82.25</v>
      </c>
    </row>
    <row r="57" spans="1:15" x14ac:dyDescent="0.3">
      <c r="A57" s="2">
        <v>5</v>
      </c>
      <c r="B57" s="8" t="s">
        <v>40</v>
      </c>
      <c r="C57" s="4">
        <v>52</v>
      </c>
      <c r="D57" s="4">
        <v>50</v>
      </c>
      <c r="E57" s="4">
        <v>62</v>
      </c>
      <c r="F57" s="5"/>
      <c r="G57" s="6">
        <f t="shared" si="12"/>
        <v>164</v>
      </c>
      <c r="H57" s="4">
        <f t="shared" si="13"/>
        <v>54.666666666666664</v>
      </c>
      <c r="I57" s="4">
        <f t="shared" si="14"/>
        <v>13.666666666666666</v>
      </c>
      <c r="J57" s="5"/>
      <c r="K57" s="4">
        <v>52</v>
      </c>
      <c r="L57" s="4">
        <f t="shared" si="15"/>
        <v>156</v>
      </c>
      <c r="M57" s="4">
        <f t="shared" si="16"/>
        <v>39</v>
      </c>
      <c r="N57" s="4">
        <f t="shared" si="17"/>
        <v>52.666666666666664</v>
      </c>
    </row>
    <row r="58" spans="1:15" x14ac:dyDescent="0.3">
      <c r="A58" s="2">
        <v>6</v>
      </c>
      <c r="B58" s="8" t="s">
        <v>43</v>
      </c>
      <c r="C58" s="4">
        <v>60</v>
      </c>
      <c r="D58" s="4">
        <v>49</v>
      </c>
      <c r="E58" s="4">
        <v>54</v>
      </c>
      <c r="F58" s="5"/>
      <c r="G58" s="6">
        <f t="shared" si="12"/>
        <v>163</v>
      </c>
      <c r="H58" s="4">
        <f t="shared" si="13"/>
        <v>54.333333333333336</v>
      </c>
      <c r="I58" s="4">
        <f t="shared" si="14"/>
        <v>13.583333333333334</v>
      </c>
      <c r="J58" s="5"/>
      <c r="K58" s="4">
        <v>59</v>
      </c>
      <c r="L58" s="4">
        <f t="shared" si="15"/>
        <v>177</v>
      </c>
      <c r="M58" s="4">
        <f t="shared" si="16"/>
        <v>44.25</v>
      </c>
      <c r="N58" s="4">
        <f t="shared" si="17"/>
        <v>57.833333333333336</v>
      </c>
    </row>
    <row r="59" spans="1:15" x14ac:dyDescent="0.3">
      <c r="A59" s="2">
        <v>7</v>
      </c>
      <c r="B59" s="8" t="s">
        <v>29</v>
      </c>
      <c r="C59" s="4">
        <v>91</v>
      </c>
      <c r="D59" s="4">
        <v>89</v>
      </c>
      <c r="E59" s="4">
        <v>88</v>
      </c>
      <c r="F59" s="5"/>
      <c r="G59" s="6">
        <f t="shared" si="12"/>
        <v>268</v>
      </c>
      <c r="H59" s="4">
        <f t="shared" si="13"/>
        <v>89.333333333333329</v>
      </c>
      <c r="I59" s="4">
        <f t="shared" si="14"/>
        <v>22.333333333333332</v>
      </c>
      <c r="J59" s="5"/>
      <c r="K59" s="4">
        <v>91</v>
      </c>
      <c r="L59" s="4">
        <f t="shared" si="15"/>
        <v>273</v>
      </c>
      <c r="M59" s="4">
        <f t="shared" si="16"/>
        <v>68.25</v>
      </c>
      <c r="N59" s="4">
        <f t="shared" si="17"/>
        <v>90.583333333333329</v>
      </c>
    </row>
    <row r="60" spans="1:15" x14ac:dyDescent="0.3">
      <c r="A60" s="2">
        <v>8</v>
      </c>
      <c r="B60" s="8" t="s">
        <v>37</v>
      </c>
      <c r="C60" s="4">
        <v>65</v>
      </c>
      <c r="D60" s="4">
        <v>71</v>
      </c>
      <c r="E60" s="4">
        <v>75</v>
      </c>
      <c r="F60" s="5"/>
      <c r="G60" s="6">
        <f t="shared" si="12"/>
        <v>211</v>
      </c>
      <c r="H60" s="4">
        <f t="shared" si="13"/>
        <v>70.333333333333329</v>
      </c>
      <c r="I60" s="4">
        <f t="shared" si="14"/>
        <v>17.583333333333332</v>
      </c>
      <c r="J60" s="5"/>
      <c r="K60" s="4">
        <v>70</v>
      </c>
      <c r="L60" s="4">
        <f t="shared" si="15"/>
        <v>210</v>
      </c>
      <c r="M60" s="4">
        <f t="shared" si="16"/>
        <v>52.5</v>
      </c>
      <c r="N60" s="4">
        <f t="shared" si="17"/>
        <v>70.083333333333329</v>
      </c>
    </row>
    <row r="61" spans="1:15" x14ac:dyDescent="0.3">
      <c r="A61" s="2">
        <v>9</v>
      </c>
      <c r="B61" s="8" t="s">
        <v>42</v>
      </c>
      <c r="C61" s="4">
        <v>55</v>
      </c>
      <c r="D61" s="4">
        <v>54</v>
      </c>
      <c r="E61" s="4">
        <v>69</v>
      </c>
      <c r="F61" s="5"/>
      <c r="G61" s="6">
        <f t="shared" si="12"/>
        <v>178</v>
      </c>
      <c r="H61" s="4">
        <f t="shared" si="13"/>
        <v>59.333333333333336</v>
      </c>
      <c r="I61" s="4">
        <f t="shared" si="14"/>
        <v>14.833333333333334</v>
      </c>
      <c r="J61" s="5"/>
      <c r="K61" s="4">
        <v>58</v>
      </c>
      <c r="L61" s="4">
        <f t="shared" si="15"/>
        <v>174</v>
      </c>
      <c r="M61" s="4">
        <f t="shared" si="16"/>
        <v>43.5</v>
      </c>
      <c r="N61" s="4">
        <f t="shared" si="17"/>
        <v>58.333333333333336</v>
      </c>
    </row>
    <row r="62" spans="1:15" x14ac:dyDescent="0.3">
      <c r="A62" s="2">
        <v>10</v>
      </c>
      <c r="B62" s="8" t="s">
        <v>38</v>
      </c>
      <c r="C62" s="4">
        <v>75</v>
      </c>
      <c r="D62" s="4">
        <v>62</v>
      </c>
      <c r="E62" s="4">
        <v>58</v>
      </c>
      <c r="F62" s="5"/>
      <c r="G62" s="6">
        <f t="shared" si="12"/>
        <v>195</v>
      </c>
      <c r="H62" s="4">
        <f t="shared" si="13"/>
        <v>65</v>
      </c>
      <c r="I62" s="4">
        <f t="shared" si="14"/>
        <v>16.25</v>
      </c>
      <c r="J62" s="5"/>
      <c r="K62" s="4">
        <v>60</v>
      </c>
      <c r="L62" s="4">
        <f t="shared" si="15"/>
        <v>180</v>
      </c>
      <c r="M62" s="4">
        <f t="shared" si="16"/>
        <v>45</v>
      </c>
      <c r="N62" s="4">
        <f t="shared" si="17"/>
        <v>61.25</v>
      </c>
    </row>
    <row r="63" spans="1:15" x14ac:dyDescent="0.3">
      <c r="A63" s="2">
        <v>11</v>
      </c>
      <c r="B63" s="8" t="s">
        <v>31</v>
      </c>
      <c r="C63" s="4">
        <v>92</v>
      </c>
      <c r="D63" s="4">
        <v>90</v>
      </c>
      <c r="E63" s="4">
        <v>91</v>
      </c>
      <c r="F63" s="5"/>
      <c r="G63" s="6">
        <f t="shared" si="12"/>
        <v>273</v>
      </c>
      <c r="H63" s="4">
        <f t="shared" si="13"/>
        <v>91</v>
      </c>
      <c r="I63" s="4">
        <f t="shared" si="14"/>
        <v>22.75</v>
      </c>
      <c r="J63" s="5"/>
      <c r="K63" s="4">
        <v>92</v>
      </c>
      <c r="L63" s="4">
        <f t="shared" si="15"/>
        <v>276</v>
      </c>
      <c r="M63" s="4">
        <f t="shared" si="16"/>
        <v>69</v>
      </c>
      <c r="N63" s="4">
        <f t="shared" si="17"/>
        <v>91.75</v>
      </c>
    </row>
    <row r="64" spans="1:15" x14ac:dyDescent="0.3">
      <c r="A64" s="2">
        <v>12</v>
      </c>
      <c r="B64" s="8" t="s">
        <v>30</v>
      </c>
      <c r="C64" s="4">
        <v>95</v>
      </c>
      <c r="D64" s="4">
        <v>92</v>
      </c>
      <c r="E64" s="4">
        <v>93</v>
      </c>
      <c r="F64" s="5"/>
      <c r="G64" s="6">
        <f t="shared" si="12"/>
        <v>280</v>
      </c>
      <c r="H64" s="4">
        <f t="shared" si="13"/>
        <v>93.333333333333329</v>
      </c>
      <c r="I64" s="4">
        <f t="shared" si="14"/>
        <v>23.333333333333332</v>
      </c>
      <c r="J64" s="5"/>
      <c r="K64" s="4">
        <v>93</v>
      </c>
      <c r="L64" s="4">
        <f t="shared" si="15"/>
        <v>279</v>
      </c>
      <c r="M64" s="4">
        <f t="shared" si="16"/>
        <v>69.75</v>
      </c>
      <c r="N64" s="4">
        <f t="shared" si="17"/>
        <v>93.083333333333329</v>
      </c>
    </row>
    <row r="65" spans="1:15" x14ac:dyDescent="0.3">
      <c r="A65" s="2">
        <v>13</v>
      </c>
      <c r="B65" s="8" t="s">
        <v>32</v>
      </c>
      <c r="C65" s="4">
        <v>80</v>
      </c>
      <c r="D65" s="4">
        <v>82</v>
      </c>
      <c r="E65" s="4">
        <v>80</v>
      </c>
      <c r="F65" s="5"/>
      <c r="G65" s="6">
        <f t="shared" si="12"/>
        <v>242</v>
      </c>
      <c r="H65" s="4">
        <f t="shared" si="13"/>
        <v>80.666666666666671</v>
      </c>
      <c r="I65" s="4">
        <f t="shared" si="14"/>
        <v>20.166666666666668</v>
      </c>
      <c r="J65" s="5"/>
      <c r="K65" s="4">
        <v>83</v>
      </c>
      <c r="L65" s="4">
        <f t="shared" si="15"/>
        <v>249</v>
      </c>
      <c r="M65" s="4">
        <f t="shared" si="16"/>
        <v>62.25</v>
      </c>
      <c r="N65" s="4">
        <f t="shared" si="17"/>
        <v>82.416666666666671</v>
      </c>
    </row>
    <row r="66" spans="1:15" x14ac:dyDescent="0.3">
      <c r="A66" s="2">
        <v>14</v>
      </c>
      <c r="B66" s="1" t="s">
        <v>36</v>
      </c>
      <c r="C66" s="4">
        <v>66</v>
      </c>
      <c r="D66" s="4">
        <v>62</v>
      </c>
      <c r="E66" s="4">
        <v>69</v>
      </c>
      <c r="F66" s="5"/>
      <c r="G66" s="6">
        <f t="shared" si="12"/>
        <v>197</v>
      </c>
      <c r="H66" s="4">
        <f t="shared" si="13"/>
        <v>65.666666666666671</v>
      </c>
      <c r="I66" s="4">
        <f t="shared" si="14"/>
        <v>16.416666666666668</v>
      </c>
      <c r="J66" s="5"/>
      <c r="K66" s="4">
        <v>62</v>
      </c>
      <c r="L66" s="4">
        <f t="shared" si="15"/>
        <v>186</v>
      </c>
      <c r="M66" s="4">
        <f t="shared" si="16"/>
        <v>46.5</v>
      </c>
      <c r="N66" s="4">
        <f t="shared" si="17"/>
        <v>62.916666666666671</v>
      </c>
    </row>
    <row r="67" spans="1:15" x14ac:dyDescent="0.3">
      <c r="A67" s="2">
        <v>15</v>
      </c>
      <c r="B67" s="1" t="s">
        <v>28</v>
      </c>
      <c r="C67" s="4">
        <v>98</v>
      </c>
      <c r="D67" s="4">
        <v>96</v>
      </c>
      <c r="E67" s="4">
        <v>96</v>
      </c>
      <c r="F67" s="5"/>
      <c r="G67" s="6">
        <f t="shared" si="12"/>
        <v>290</v>
      </c>
      <c r="H67" s="4">
        <f t="shared" si="13"/>
        <v>96.666666666666671</v>
      </c>
      <c r="I67" s="4">
        <f t="shared" si="14"/>
        <v>24.166666666666668</v>
      </c>
      <c r="J67" s="5"/>
      <c r="K67" s="4">
        <v>98</v>
      </c>
      <c r="L67" s="4">
        <f t="shared" si="15"/>
        <v>294</v>
      </c>
      <c r="M67" s="4">
        <f t="shared" si="16"/>
        <v>73.5</v>
      </c>
      <c r="N67" s="4">
        <f t="shared" si="17"/>
        <v>97.666666666666671</v>
      </c>
    </row>
    <row r="68" spans="1:15" x14ac:dyDescent="0.3">
      <c r="A68" s="2">
        <v>16</v>
      </c>
      <c r="B68" s="8" t="s">
        <v>41</v>
      </c>
      <c r="C68" s="4">
        <v>71</v>
      </c>
      <c r="D68" s="4">
        <v>54</v>
      </c>
      <c r="E68" s="4">
        <v>55</v>
      </c>
      <c r="F68" s="5"/>
      <c r="G68" s="6">
        <f t="shared" si="12"/>
        <v>180</v>
      </c>
      <c r="H68" s="4">
        <f t="shared" si="13"/>
        <v>60</v>
      </c>
      <c r="I68" s="4">
        <f t="shared" si="14"/>
        <v>15</v>
      </c>
      <c r="J68" s="5"/>
      <c r="K68" s="4">
        <v>67</v>
      </c>
      <c r="L68" s="4">
        <f t="shared" si="15"/>
        <v>201</v>
      </c>
      <c r="M68" s="4">
        <f t="shared" si="16"/>
        <v>50.25</v>
      </c>
      <c r="N68" s="4">
        <f t="shared" si="17"/>
        <v>65.25</v>
      </c>
    </row>
    <row r="69" spans="1:15" x14ac:dyDescent="0.3">
      <c r="F69" s="5"/>
    </row>
    <row r="72" spans="1:15" x14ac:dyDescent="0.3">
      <c r="A72" s="63" t="s">
        <v>0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15" x14ac:dyDescent="0.3">
      <c r="A73" s="63" t="s">
        <v>1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1:15" x14ac:dyDescent="0.3">
      <c r="A74" s="63" t="s">
        <v>27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1:15" x14ac:dyDescent="0.3">
      <c r="B75" s="64" t="s">
        <v>21</v>
      </c>
      <c r="C75" s="64"/>
      <c r="D75" s="64"/>
    </row>
    <row r="76" spans="1:15" x14ac:dyDescent="0.3">
      <c r="C76" s="1" t="s">
        <v>4</v>
      </c>
      <c r="D76" s="1" t="s">
        <v>5</v>
      </c>
      <c r="E76" s="1" t="s">
        <v>6</v>
      </c>
      <c r="F76" s="1"/>
      <c r="G76" s="1" t="s">
        <v>7</v>
      </c>
      <c r="H76" s="1" t="s">
        <v>8</v>
      </c>
      <c r="I76" s="3">
        <v>0.25</v>
      </c>
      <c r="J76" s="1"/>
      <c r="K76" s="1" t="s">
        <v>9</v>
      </c>
      <c r="L76" s="1"/>
      <c r="M76" s="3">
        <v>0.75</v>
      </c>
      <c r="N76" s="1" t="s">
        <v>10</v>
      </c>
    </row>
    <row r="77" spans="1:15" x14ac:dyDescent="0.3">
      <c r="A77" s="2">
        <v>1</v>
      </c>
      <c r="B77" s="8" t="s">
        <v>34</v>
      </c>
      <c r="C77" s="4">
        <v>68</v>
      </c>
      <c r="D77" s="4">
        <v>62</v>
      </c>
      <c r="E77" s="4">
        <v>58</v>
      </c>
      <c r="F77" s="5"/>
      <c r="G77" s="6">
        <f>SUM(C77:E77)</f>
        <v>188</v>
      </c>
      <c r="H77" s="4">
        <f>AVERAGE(C77:E77)</f>
        <v>62.666666666666664</v>
      </c>
      <c r="I77" s="4">
        <f>G77/12</f>
        <v>15.666666666666666</v>
      </c>
      <c r="J77" s="5"/>
      <c r="K77" s="4">
        <v>58</v>
      </c>
      <c r="L77" s="4">
        <f>K77*3</f>
        <v>174</v>
      </c>
      <c r="M77" s="4">
        <f>L77/4</f>
        <v>43.5</v>
      </c>
      <c r="N77" s="4">
        <f>M77+I77</f>
        <v>59.166666666666664</v>
      </c>
    </row>
    <row r="78" spans="1:15" x14ac:dyDescent="0.3">
      <c r="A78" s="2">
        <v>2</v>
      </c>
      <c r="B78" s="8" t="s">
        <v>39</v>
      </c>
      <c r="C78" s="4">
        <v>52</v>
      </c>
      <c r="D78" s="4">
        <v>52</v>
      </c>
      <c r="E78" s="4">
        <v>62</v>
      </c>
      <c r="F78" s="5"/>
      <c r="G78" s="6">
        <f t="shared" ref="G78:G92" si="18">SUM(C78:E78)</f>
        <v>166</v>
      </c>
      <c r="H78" s="4">
        <f t="shared" ref="H78:H92" si="19">AVERAGE(C78:E78)</f>
        <v>55.333333333333336</v>
      </c>
      <c r="I78" s="4">
        <f t="shared" ref="I78:I92" si="20">G78/12</f>
        <v>13.833333333333334</v>
      </c>
      <c r="J78" s="5"/>
      <c r="K78" s="4">
        <v>56</v>
      </c>
      <c r="L78" s="4">
        <f t="shared" ref="L78:L92" si="21">K78*3</f>
        <v>168</v>
      </c>
      <c r="M78" s="4">
        <f t="shared" ref="M78:M92" si="22">L78/4</f>
        <v>42</v>
      </c>
      <c r="N78" s="4">
        <f t="shared" ref="N78:N92" si="23">M78+I78</f>
        <v>55.833333333333336</v>
      </c>
    </row>
    <row r="79" spans="1:15" x14ac:dyDescent="0.3">
      <c r="A79" s="2">
        <v>3</v>
      </c>
      <c r="B79" s="8" t="s">
        <v>35</v>
      </c>
      <c r="C79" s="4">
        <v>59</v>
      </c>
      <c r="D79" s="4">
        <v>53</v>
      </c>
      <c r="E79" s="4">
        <v>55</v>
      </c>
      <c r="F79" s="5"/>
      <c r="G79" s="6">
        <f t="shared" si="18"/>
        <v>167</v>
      </c>
      <c r="H79" s="4">
        <f t="shared" si="19"/>
        <v>55.666666666666664</v>
      </c>
      <c r="I79" s="4">
        <f t="shared" si="20"/>
        <v>13.916666666666666</v>
      </c>
      <c r="J79" s="5"/>
      <c r="K79" s="4">
        <v>52</v>
      </c>
      <c r="L79" s="4">
        <f t="shared" si="21"/>
        <v>156</v>
      </c>
      <c r="M79" s="4">
        <f t="shared" si="22"/>
        <v>39</v>
      </c>
      <c r="N79" s="4">
        <f t="shared" si="23"/>
        <v>52.916666666666664</v>
      </c>
    </row>
    <row r="80" spans="1:15" x14ac:dyDescent="0.3">
      <c r="A80" s="2">
        <v>4</v>
      </c>
      <c r="B80" s="8" t="s">
        <v>33</v>
      </c>
      <c r="C80" s="4">
        <v>84</v>
      </c>
      <c r="D80" s="4">
        <v>85</v>
      </c>
      <c r="E80" s="4">
        <v>83</v>
      </c>
      <c r="F80" s="5"/>
      <c r="G80" s="6">
        <f t="shared" si="18"/>
        <v>252</v>
      </c>
      <c r="H80" s="4">
        <f t="shared" si="19"/>
        <v>84</v>
      </c>
      <c r="I80" s="4">
        <f t="shared" si="20"/>
        <v>21</v>
      </c>
      <c r="J80" s="5"/>
      <c r="K80" s="4">
        <v>83</v>
      </c>
      <c r="L80" s="4">
        <f t="shared" si="21"/>
        <v>249</v>
      </c>
      <c r="M80" s="4">
        <f t="shared" si="22"/>
        <v>62.25</v>
      </c>
      <c r="N80" s="4">
        <f t="shared" si="23"/>
        <v>83.25</v>
      </c>
    </row>
    <row r="81" spans="1:15" x14ac:dyDescent="0.3">
      <c r="A81" s="2">
        <v>5</v>
      </c>
      <c r="B81" s="8" t="s">
        <v>40</v>
      </c>
      <c r="C81" s="4">
        <v>70</v>
      </c>
      <c r="D81" s="4">
        <v>71</v>
      </c>
      <c r="E81" s="4">
        <v>71</v>
      </c>
      <c r="F81" s="5"/>
      <c r="G81" s="6">
        <f t="shared" si="18"/>
        <v>212</v>
      </c>
      <c r="H81" s="4">
        <f t="shared" si="19"/>
        <v>70.666666666666671</v>
      </c>
      <c r="I81" s="4">
        <f t="shared" si="20"/>
        <v>17.666666666666668</v>
      </c>
      <c r="J81" s="5"/>
      <c r="K81" s="4">
        <v>71</v>
      </c>
      <c r="L81" s="4">
        <f t="shared" si="21"/>
        <v>213</v>
      </c>
      <c r="M81" s="4">
        <f t="shared" si="22"/>
        <v>53.25</v>
      </c>
      <c r="N81" s="4">
        <f t="shared" si="23"/>
        <v>70.916666666666671</v>
      </c>
    </row>
    <row r="82" spans="1:15" x14ac:dyDescent="0.3">
      <c r="A82" s="2">
        <v>6</v>
      </c>
      <c r="B82" s="8" t="s">
        <v>43</v>
      </c>
      <c r="C82" s="4">
        <v>69</v>
      </c>
      <c r="D82" s="4">
        <v>70</v>
      </c>
      <c r="E82" s="4">
        <v>69</v>
      </c>
      <c r="F82" s="5"/>
      <c r="G82" s="6">
        <f t="shared" si="18"/>
        <v>208</v>
      </c>
      <c r="H82" s="4">
        <f t="shared" si="19"/>
        <v>69.333333333333329</v>
      </c>
      <c r="I82" s="4">
        <f t="shared" si="20"/>
        <v>17.333333333333332</v>
      </c>
      <c r="J82" s="5"/>
      <c r="K82" s="4">
        <v>65</v>
      </c>
      <c r="L82" s="4">
        <f t="shared" si="21"/>
        <v>195</v>
      </c>
      <c r="M82" s="4">
        <f t="shared" si="22"/>
        <v>48.75</v>
      </c>
      <c r="N82" s="4">
        <f t="shared" si="23"/>
        <v>66.083333333333329</v>
      </c>
    </row>
    <row r="83" spans="1:15" x14ac:dyDescent="0.3">
      <c r="A83" s="2">
        <v>7</v>
      </c>
      <c r="B83" s="8" t="s">
        <v>29</v>
      </c>
      <c r="C83" s="4">
        <v>86</v>
      </c>
      <c r="D83" s="4">
        <v>89</v>
      </c>
      <c r="E83" s="4">
        <v>85</v>
      </c>
      <c r="F83" s="5"/>
      <c r="G83" s="6">
        <f t="shared" si="18"/>
        <v>260</v>
      </c>
      <c r="H83" s="4">
        <f t="shared" si="19"/>
        <v>86.666666666666671</v>
      </c>
      <c r="I83" s="4">
        <f t="shared" si="20"/>
        <v>21.666666666666668</v>
      </c>
      <c r="J83" s="5"/>
      <c r="K83" s="4">
        <v>88</v>
      </c>
      <c r="L83" s="4">
        <f t="shared" si="21"/>
        <v>264</v>
      </c>
      <c r="M83" s="4">
        <f t="shared" si="22"/>
        <v>66</v>
      </c>
      <c r="N83" s="4">
        <f t="shared" si="23"/>
        <v>87.666666666666671</v>
      </c>
    </row>
    <row r="84" spans="1:15" x14ac:dyDescent="0.3">
      <c r="A84" s="2">
        <v>8</v>
      </c>
      <c r="B84" s="8" t="s">
        <v>37</v>
      </c>
      <c r="C84" s="4">
        <v>65</v>
      </c>
      <c r="D84" s="4">
        <v>62</v>
      </c>
      <c r="E84" s="4">
        <v>55</v>
      </c>
      <c r="F84" s="5"/>
      <c r="G84" s="6">
        <f t="shared" si="18"/>
        <v>182</v>
      </c>
      <c r="H84" s="4">
        <f t="shared" si="19"/>
        <v>60.666666666666664</v>
      </c>
      <c r="I84" s="4">
        <f t="shared" si="20"/>
        <v>15.166666666666666</v>
      </c>
      <c r="J84" s="5"/>
      <c r="K84" s="4">
        <v>65</v>
      </c>
      <c r="L84" s="4">
        <f t="shared" si="21"/>
        <v>195</v>
      </c>
      <c r="M84" s="4">
        <f t="shared" si="22"/>
        <v>48.75</v>
      </c>
      <c r="N84" s="4">
        <f t="shared" si="23"/>
        <v>63.916666666666664</v>
      </c>
    </row>
    <row r="85" spans="1:15" x14ac:dyDescent="0.3">
      <c r="A85" s="2">
        <v>9</v>
      </c>
      <c r="B85" s="8" t="s">
        <v>42</v>
      </c>
      <c r="C85" s="4">
        <v>58</v>
      </c>
      <c r="D85" s="4">
        <v>58</v>
      </c>
      <c r="E85" s="4">
        <v>65</v>
      </c>
      <c r="F85" s="5"/>
      <c r="G85" s="6">
        <f t="shared" si="18"/>
        <v>181</v>
      </c>
      <c r="H85" s="4">
        <f t="shared" si="19"/>
        <v>60.333333333333336</v>
      </c>
      <c r="I85" s="4">
        <f t="shared" si="20"/>
        <v>15.083333333333334</v>
      </c>
      <c r="J85" s="5"/>
      <c r="K85" s="4">
        <v>62</v>
      </c>
      <c r="L85" s="4">
        <f t="shared" si="21"/>
        <v>186</v>
      </c>
      <c r="M85" s="4">
        <f t="shared" si="22"/>
        <v>46.5</v>
      </c>
      <c r="N85" s="4">
        <f t="shared" si="23"/>
        <v>61.583333333333336</v>
      </c>
    </row>
    <row r="86" spans="1:15" x14ac:dyDescent="0.3">
      <c r="A86" s="2">
        <v>10</v>
      </c>
      <c r="B86" s="8" t="s">
        <v>38</v>
      </c>
      <c r="C86" s="4">
        <v>51</v>
      </c>
      <c r="D86" s="4">
        <v>57</v>
      </c>
      <c r="E86" s="4">
        <v>49</v>
      </c>
      <c r="F86" s="5"/>
      <c r="G86" s="6">
        <f t="shared" si="18"/>
        <v>157</v>
      </c>
      <c r="H86" s="4">
        <f t="shared" si="19"/>
        <v>52.333333333333336</v>
      </c>
      <c r="I86" s="4">
        <f t="shared" si="20"/>
        <v>13.083333333333334</v>
      </c>
      <c r="J86" s="5"/>
      <c r="K86" s="4">
        <v>55</v>
      </c>
      <c r="L86" s="4">
        <f t="shared" si="21"/>
        <v>165</v>
      </c>
      <c r="M86" s="4">
        <f t="shared" si="22"/>
        <v>41.25</v>
      </c>
      <c r="N86" s="4">
        <f t="shared" si="23"/>
        <v>54.333333333333336</v>
      </c>
    </row>
    <row r="87" spans="1:15" x14ac:dyDescent="0.3">
      <c r="A87" s="2">
        <v>11</v>
      </c>
      <c r="B87" s="8" t="s">
        <v>31</v>
      </c>
      <c r="C87" s="4">
        <v>86</v>
      </c>
      <c r="D87" s="4">
        <v>86</v>
      </c>
      <c r="E87" s="4">
        <v>87</v>
      </c>
      <c r="F87" s="5"/>
      <c r="G87" s="6">
        <f t="shared" si="18"/>
        <v>259</v>
      </c>
      <c r="H87" s="4">
        <f t="shared" si="19"/>
        <v>86.333333333333329</v>
      </c>
      <c r="I87" s="4">
        <f t="shared" si="20"/>
        <v>21.583333333333332</v>
      </c>
      <c r="J87" s="5"/>
      <c r="K87" s="4">
        <v>85</v>
      </c>
      <c r="L87" s="4">
        <f t="shared" si="21"/>
        <v>255</v>
      </c>
      <c r="M87" s="4">
        <f t="shared" si="22"/>
        <v>63.75</v>
      </c>
      <c r="N87" s="4">
        <f t="shared" si="23"/>
        <v>85.333333333333329</v>
      </c>
    </row>
    <row r="88" spans="1:15" x14ac:dyDescent="0.3">
      <c r="A88" s="2">
        <v>12</v>
      </c>
      <c r="B88" s="8" t="s">
        <v>30</v>
      </c>
      <c r="C88" s="4">
        <v>91</v>
      </c>
      <c r="D88" s="4">
        <v>92</v>
      </c>
      <c r="E88" s="4">
        <v>91</v>
      </c>
      <c r="F88" s="5"/>
      <c r="G88" s="6">
        <f t="shared" si="18"/>
        <v>274</v>
      </c>
      <c r="H88" s="4">
        <f t="shared" si="19"/>
        <v>91.333333333333329</v>
      </c>
      <c r="I88" s="4">
        <f t="shared" si="20"/>
        <v>22.833333333333332</v>
      </c>
      <c r="J88" s="5"/>
      <c r="K88" s="4">
        <v>92</v>
      </c>
      <c r="L88" s="4">
        <f t="shared" si="21"/>
        <v>276</v>
      </c>
      <c r="M88" s="4">
        <f t="shared" si="22"/>
        <v>69</v>
      </c>
      <c r="N88" s="4">
        <f t="shared" si="23"/>
        <v>91.833333333333329</v>
      </c>
    </row>
    <row r="89" spans="1:15" x14ac:dyDescent="0.3">
      <c r="A89" s="2">
        <v>13</v>
      </c>
      <c r="B89" s="8" t="s">
        <v>32</v>
      </c>
      <c r="C89" s="4">
        <v>65</v>
      </c>
      <c r="D89" s="4">
        <v>66</v>
      </c>
      <c r="E89" s="4">
        <v>69</v>
      </c>
      <c r="F89" s="5"/>
      <c r="G89" s="6">
        <f t="shared" si="18"/>
        <v>200</v>
      </c>
      <c r="H89" s="4">
        <f t="shared" si="19"/>
        <v>66.666666666666671</v>
      </c>
      <c r="I89" s="4">
        <f t="shared" si="20"/>
        <v>16.666666666666668</v>
      </c>
      <c r="J89" s="5"/>
      <c r="K89" s="4">
        <v>68</v>
      </c>
      <c r="L89" s="4">
        <f t="shared" si="21"/>
        <v>204</v>
      </c>
      <c r="M89" s="4">
        <f t="shared" si="22"/>
        <v>51</v>
      </c>
      <c r="N89" s="4">
        <f t="shared" si="23"/>
        <v>67.666666666666671</v>
      </c>
    </row>
    <row r="90" spans="1:15" x14ac:dyDescent="0.3">
      <c r="A90" s="2">
        <v>14</v>
      </c>
      <c r="B90" s="1" t="s">
        <v>36</v>
      </c>
      <c r="C90" s="4">
        <v>58</v>
      </c>
      <c r="D90" s="4">
        <v>58</v>
      </c>
      <c r="E90" s="4">
        <v>58</v>
      </c>
      <c r="F90" s="5"/>
      <c r="G90" s="6">
        <f t="shared" si="18"/>
        <v>174</v>
      </c>
      <c r="H90" s="4">
        <f t="shared" si="19"/>
        <v>58</v>
      </c>
      <c r="I90" s="4">
        <f t="shared" si="20"/>
        <v>14.5</v>
      </c>
      <c r="J90" s="5"/>
      <c r="K90" s="4">
        <v>62</v>
      </c>
      <c r="L90" s="4">
        <f t="shared" si="21"/>
        <v>186</v>
      </c>
      <c r="M90" s="4">
        <f t="shared" si="22"/>
        <v>46.5</v>
      </c>
      <c r="N90" s="4">
        <f t="shared" si="23"/>
        <v>61</v>
      </c>
    </row>
    <row r="91" spans="1:15" x14ac:dyDescent="0.3">
      <c r="A91" s="2">
        <v>15</v>
      </c>
      <c r="B91" s="1" t="s">
        <v>28</v>
      </c>
      <c r="C91" s="4">
        <v>93</v>
      </c>
      <c r="D91" s="4">
        <v>94</v>
      </c>
      <c r="E91" s="4">
        <v>93</v>
      </c>
      <c r="F91" s="5"/>
      <c r="G91" s="6">
        <f t="shared" si="18"/>
        <v>280</v>
      </c>
      <c r="H91" s="4">
        <f t="shared" si="19"/>
        <v>93.333333333333329</v>
      </c>
      <c r="I91" s="4">
        <f t="shared" si="20"/>
        <v>23.333333333333332</v>
      </c>
      <c r="J91" s="5"/>
      <c r="K91" s="4">
        <v>94</v>
      </c>
      <c r="L91" s="4">
        <f t="shared" si="21"/>
        <v>282</v>
      </c>
      <c r="M91" s="4">
        <f t="shared" si="22"/>
        <v>70.5</v>
      </c>
      <c r="N91" s="4">
        <f t="shared" si="23"/>
        <v>93.833333333333329</v>
      </c>
    </row>
    <row r="92" spans="1:15" x14ac:dyDescent="0.3">
      <c r="A92" s="2">
        <v>16</v>
      </c>
      <c r="B92" s="8" t="s">
        <v>41</v>
      </c>
      <c r="C92" s="4">
        <v>58</v>
      </c>
      <c r="D92" s="4">
        <v>58</v>
      </c>
      <c r="E92" s="4">
        <v>58</v>
      </c>
      <c r="F92" s="5"/>
      <c r="G92" s="6">
        <f t="shared" si="18"/>
        <v>174</v>
      </c>
      <c r="H92" s="4">
        <f t="shared" si="19"/>
        <v>58</v>
      </c>
      <c r="I92" s="4">
        <f t="shared" si="20"/>
        <v>14.5</v>
      </c>
      <c r="J92" s="5"/>
      <c r="K92" s="4">
        <v>54</v>
      </c>
      <c r="L92" s="4">
        <f t="shared" si="21"/>
        <v>162</v>
      </c>
      <c r="M92" s="4">
        <f t="shared" si="22"/>
        <v>40.5</v>
      </c>
      <c r="N92" s="4">
        <f t="shared" si="23"/>
        <v>55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27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22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8" t="s">
        <v>34</v>
      </c>
      <c r="C100" s="4">
        <v>56</v>
      </c>
      <c r="D100" s="4">
        <v>53</v>
      </c>
      <c r="E100" s="4">
        <v>58</v>
      </c>
      <c r="F100" s="5"/>
      <c r="G100" s="6">
        <f>SUM(C100:E100)</f>
        <v>167</v>
      </c>
      <c r="H100" s="4">
        <f>AVERAGE(C100:E100)</f>
        <v>55.666666666666664</v>
      </c>
      <c r="I100" s="4">
        <f>G100/12</f>
        <v>13.916666666666666</v>
      </c>
      <c r="J100" s="5"/>
      <c r="K100" s="4">
        <v>59</v>
      </c>
      <c r="L100" s="4">
        <f>K100*3</f>
        <v>177</v>
      </c>
      <c r="M100" s="4">
        <f>L100/4</f>
        <v>44.25</v>
      </c>
      <c r="N100" s="4">
        <f>M100+I100</f>
        <v>58.166666666666664</v>
      </c>
    </row>
    <row r="101" spans="1:15" x14ac:dyDescent="0.3">
      <c r="A101" s="2">
        <v>2</v>
      </c>
      <c r="B101" s="8" t="s">
        <v>39</v>
      </c>
      <c r="C101" s="4">
        <v>69</v>
      </c>
      <c r="D101" s="4">
        <v>64</v>
      </c>
      <c r="E101" s="4">
        <v>69</v>
      </c>
      <c r="F101" s="5"/>
      <c r="G101" s="6">
        <f t="shared" ref="G101:G115" si="24">SUM(C101:E101)</f>
        <v>202</v>
      </c>
      <c r="H101" s="4">
        <f t="shared" ref="H101:H115" si="25">AVERAGE(C101:E101)</f>
        <v>67.333333333333329</v>
      </c>
      <c r="I101" s="4">
        <f t="shared" ref="I101:I115" si="26">G101/12</f>
        <v>16.833333333333332</v>
      </c>
      <c r="J101" s="5"/>
      <c r="K101" s="4">
        <v>69</v>
      </c>
      <c r="L101" s="4">
        <f t="shared" ref="L101:L115" si="27">K101*3</f>
        <v>207</v>
      </c>
      <c r="M101" s="4">
        <f t="shared" ref="M101:M115" si="28">L101/4</f>
        <v>51.75</v>
      </c>
      <c r="N101" s="4">
        <f t="shared" ref="N101:N115" si="29">M101+I101</f>
        <v>68.583333333333329</v>
      </c>
    </row>
    <row r="102" spans="1:15" x14ac:dyDescent="0.3">
      <c r="A102" s="2">
        <v>3</v>
      </c>
      <c r="B102" s="8" t="s">
        <v>35</v>
      </c>
      <c r="C102" s="4">
        <v>58</v>
      </c>
      <c r="D102" s="4">
        <v>55</v>
      </c>
      <c r="E102" s="4">
        <v>60</v>
      </c>
      <c r="F102" s="5"/>
      <c r="G102" s="6">
        <f t="shared" si="24"/>
        <v>173</v>
      </c>
      <c r="H102" s="4">
        <f t="shared" si="25"/>
        <v>57.666666666666664</v>
      </c>
      <c r="I102" s="4">
        <f t="shared" si="26"/>
        <v>14.416666666666666</v>
      </c>
      <c r="J102" s="5"/>
      <c r="K102" s="4">
        <v>58</v>
      </c>
      <c r="L102" s="4">
        <f t="shared" si="27"/>
        <v>174</v>
      </c>
      <c r="M102" s="4">
        <f t="shared" si="28"/>
        <v>43.5</v>
      </c>
      <c r="N102" s="4">
        <f t="shared" si="29"/>
        <v>57.916666666666664</v>
      </c>
    </row>
    <row r="103" spans="1:15" x14ac:dyDescent="0.3">
      <c r="A103" s="2">
        <v>4</v>
      </c>
      <c r="B103" s="8" t="s">
        <v>33</v>
      </c>
      <c r="C103" s="4">
        <v>84</v>
      </c>
      <c r="D103" s="4">
        <v>82</v>
      </c>
      <c r="E103" s="4">
        <v>86</v>
      </c>
      <c r="F103" s="5"/>
      <c r="G103" s="6">
        <f t="shared" si="24"/>
        <v>252</v>
      </c>
      <c r="H103" s="4">
        <f t="shared" si="25"/>
        <v>84</v>
      </c>
      <c r="I103" s="4">
        <f t="shared" si="26"/>
        <v>21</v>
      </c>
      <c r="J103" s="5"/>
      <c r="K103" s="4">
        <v>86</v>
      </c>
      <c r="L103" s="4">
        <f t="shared" si="27"/>
        <v>258</v>
      </c>
      <c r="M103" s="4">
        <f t="shared" si="28"/>
        <v>64.5</v>
      </c>
      <c r="N103" s="4">
        <f t="shared" si="29"/>
        <v>85.5</v>
      </c>
    </row>
    <row r="104" spans="1:15" x14ac:dyDescent="0.3">
      <c r="A104" s="2">
        <v>5</v>
      </c>
      <c r="B104" s="8" t="s">
        <v>40</v>
      </c>
      <c r="C104" s="4">
        <v>52</v>
      </c>
      <c r="D104" s="4">
        <v>47</v>
      </c>
      <c r="E104" s="4">
        <v>51</v>
      </c>
      <c r="F104" s="5"/>
      <c r="G104" s="6">
        <f t="shared" si="24"/>
        <v>150</v>
      </c>
      <c r="H104" s="4">
        <f t="shared" si="25"/>
        <v>50</v>
      </c>
      <c r="I104" s="4">
        <f t="shared" si="26"/>
        <v>12.5</v>
      </c>
      <c r="J104" s="5"/>
      <c r="K104" s="4">
        <v>58</v>
      </c>
      <c r="L104" s="4">
        <f t="shared" si="27"/>
        <v>174</v>
      </c>
      <c r="M104" s="4">
        <f t="shared" si="28"/>
        <v>43.5</v>
      </c>
      <c r="N104" s="4">
        <f t="shared" si="29"/>
        <v>56</v>
      </c>
    </row>
    <row r="105" spans="1:15" x14ac:dyDescent="0.3">
      <c r="A105" s="2">
        <v>6</v>
      </c>
      <c r="B105" s="8" t="s">
        <v>43</v>
      </c>
      <c r="C105" s="4">
        <v>62</v>
      </c>
      <c r="D105" s="4">
        <v>62</v>
      </c>
      <c r="E105" s="4">
        <v>58</v>
      </c>
      <c r="F105" s="5"/>
      <c r="G105" s="6">
        <f t="shared" si="24"/>
        <v>182</v>
      </c>
      <c r="H105" s="4">
        <f t="shared" si="25"/>
        <v>60.666666666666664</v>
      </c>
      <c r="I105" s="4">
        <f t="shared" si="26"/>
        <v>15.166666666666666</v>
      </c>
      <c r="J105" s="5"/>
      <c r="K105" s="4">
        <v>63</v>
      </c>
      <c r="L105" s="4">
        <f t="shared" si="27"/>
        <v>189</v>
      </c>
      <c r="M105" s="4">
        <f t="shared" si="28"/>
        <v>47.25</v>
      </c>
      <c r="N105" s="4">
        <f t="shared" si="29"/>
        <v>62.416666666666664</v>
      </c>
    </row>
    <row r="106" spans="1:15" x14ac:dyDescent="0.3">
      <c r="A106" s="2">
        <v>7</v>
      </c>
      <c r="B106" s="8" t="s">
        <v>29</v>
      </c>
      <c r="C106" s="4">
        <v>88</v>
      </c>
      <c r="D106" s="4">
        <v>89</v>
      </c>
      <c r="E106" s="4">
        <v>92</v>
      </c>
      <c r="F106" s="5"/>
      <c r="G106" s="6">
        <f t="shared" si="24"/>
        <v>269</v>
      </c>
      <c r="H106" s="4">
        <f t="shared" si="25"/>
        <v>89.666666666666671</v>
      </c>
      <c r="I106" s="4">
        <f t="shared" si="26"/>
        <v>22.416666666666668</v>
      </c>
      <c r="J106" s="5"/>
      <c r="K106" s="4">
        <v>92</v>
      </c>
      <c r="L106" s="4">
        <f t="shared" si="27"/>
        <v>276</v>
      </c>
      <c r="M106" s="4">
        <f t="shared" si="28"/>
        <v>69</v>
      </c>
      <c r="N106" s="4">
        <f t="shared" si="29"/>
        <v>91.416666666666671</v>
      </c>
    </row>
    <row r="107" spans="1:15" x14ac:dyDescent="0.3">
      <c r="A107" s="2">
        <v>8</v>
      </c>
      <c r="B107" s="8" t="s">
        <v>37</v>
      </c>
      <c r="C107" s="4">
        <v>68</v>
      </c>
      <c r="D107" s="4">
        <v>65</v>
      </c>
      <c r="E107" s="4">
        <v>54</v>
      </c>
      <c r="F107" s="5"/>
      <c r="G107" s="6">
        <f t="shared" si="24"/>
        <v>187</v>
      </c>
      <c r="H107" s="4">
        <f t="shared" si="25"/>
        <v>62.333333333333336</v>
      </c>
      <c r="I107" s="4">
        <f t="shared" si="26"/>
        <v>15.583333333333334</v>
      </c>
      <c r="J107" s="5"/>
      <c r="K107" s="4">
        <v>54</v>
      </c>
      <c r="L107" s="4">
        <f t="shared" si="27"/>
        <v>162</v>
      </c>
      <c r="M107" s="4">
        <f t="shared" si="28"/>
        <v>40.5</v>
      </c>
      <c r="N107" s="4">
        <f t="shared" si="29"/>
        <v>56.083333333333336</v>
      </c>
    </row>
    <row r="108" spans="1:15" x14ac:dyDescent="0.3">
      <c r="A108" s="2">
        <v>9</v>
      </c>
      <c r="B108" s="8" t="s">
        <v>42</v>
      </c>
      <c r="C108" s="4">
        <v>55</v>
      </c>
      <c r="D108" s="4">
        <v>54</v>
      </c>
      <c r="E108" s="4">
        <v>62</v>
      </c>
      <c r="F108" s="5"/>
      <c r="G108" s="6">
        <f t="shared" si="24"/>
        <v>171</v>
      </c>
      <c r="H108" s="4">
        <f t="shared" si="25"/>
        <v>57</v>
      </c>
      <c r="I108" s="4">
        <f t="shared" si="26"/>
        <v>14.25</v>
      </c>
      <c r="J108" s="5"/>
      <c r="K108" s="4">
        <v>55</v>
      </c>
      <c r="L108" s="4">
        <f t="shared" si="27"/>
        <v>165</v>
      </c>
      <c r="M108" s="4">
        <f t="shared" si="28"/>
        <v>41.25</v>
      </c>
      <c r="N108" s="4">
        <f t="shared" si="29"/>
        <v>55.5</v>
      </c>
    </row>
    <row r="109" spans="1:15" x14ac:dyDescent="0.3">
      <c r="A109" s="2">
        <v>10</v>
      </c>
      <c r="B109" s="8" t="s">
        <v>38</v>
      </c>
      <c r="C109" s="4">
        <v>52</v>
      </c>
      <c r="D109" s="4">
        <v>55</v>
      </c>
      <c r="E109" s="4">
        <v>55</v>
      </c>
      <c r="F109" s="5"/>
      <c r="G109" s="6">
        <f t="shared" si="24"/>
        <v>162</v>
      </c>
      <c r="H109" s="4">
        <f t="shared" si="25"/>
        <v>54</v>
      </c>
      <c r="I109" s="4">
        <f t="shared" si="26"/>
        <v>13.5</v>
      </c>
      <c r="J109" s="5"/>
      <c r="K109" s="4">
        <v>56</v>
      </c>
      <c r="L109" s="4">
        <f t="shared" si="27"/>
        <v>168</v>
      </c>
      <c r="M109" s="4">
        <f t="shared" si="28"/>
        <v>42</v>
      </c>
      <c r="N109" s="4">
        <f t="shared" si="29"/>
        <v>55.5</v>
      </c>
    </row>
    <row r="110" spans="1:15" x14ac:dyDescent="0.3">
      <c r="A110" s="2">
        <v>11</v>
      </c>
      <c r="B110" s="8" t="s">
        <v>31</v>
      </c>
      <c r="C110" s="4">
        <v>88</v>
      </c>
      <c r="D110" s="4">
        <v>90</v>
      </c>
      <c r="E110" s="4">
        <v>92</v>
      </c>
      <c r="F110" s="5"/>
      <c r="G110" s="6">
        <f t="shared" si="24"/>
        <v>270</v>
      </c>
      <c r="H110" s="4">
        <f t="shared" si="25"/>
        <v>90</v>
      </c>
      <c r="I110" s="4">
        <f t="shared" si="26"/>
        <v>22.5</v>
      </c>
      <c r="J110" s="5"/>
      <c r="K110" s="4">
        <v>92</v>
      </c>
      <c r="L110" s="4">
        <f t="shared" si="27"/>
        <v>276</v>
      </c>
      <c r="M110" s="4">
        <f t="shared" si="28"/>
        <v>69</v>
      </c>
      <c r="N110" s="4">
        <f t="shared" si="29"/>
        <v>91.5</v>
      </c>
    </row>
    <row r="111" spans="1:15" x14ac:dyDescent="0.3">
      <c r="A111" s="2">
        <v>12</v>
      </c>
      <c r="B111" s="8" t="s">
        <v>30</v>
      </c>
      <c r="C111" s="4">
        <v>89</v>
      </c>
      <c r="D111" s="4">
        <v>92</v>
      </c>
      <c r="E111" s="4">
        <v>88</v>
      </c>
      <c r="F111" s="5"/>
      <c r="G111" s="6">
        <f t="shared" si="24"/>
        <v>269</v>
      </c>
      <c r="H111" s="4">
        <f t="shared" si="25"/>
        <v>89.666666666666671</v>
      </c>
      <c r="I111" s="4">
        <f t="shared" si="26"/>
        <v>22.416666666666668</v>
      </c>
      <c r="J111" s="5"/>
      <c r="K111" s="4">
        <v>91</v>
      </c>
      <c r="L111" s="4">
        <f t="shared" si="27"/>
        <v>273</v>
      </c>
      <c r="M111" s="4">
        <f t="shared" si="28"/>
        <v>68.25</v>
      </c>
      <c r="N111" s="4">
        <f t="shared" si="29"/>
        <v>90.666666666666671</v>
      </c>
    </row>
    <row r="112" spans="1:15" x14ac:dyDescent="0.3">
      <c r="A112" s="2">
        <v>13</v>
      </c>
      <c r="B112" s="8" t="s">
        <v>32</v>
      </c>
      <c r="C112" s="4">
        <v>65</v>
      </c>
      <c r="D112" s="4">
        <v>77</v>
      </c>
      <c r="E112" s="4">
        <v>69</v>
      </c>
      <c r="F112" s="5"/>
      <c r="G112" s="6">
        <f t="shared" si="24"/>
        <v>211</v>
      </c>
      <c r="H112" s="4">
        <f t="shared" si="25"/>
        <v>70.333333333333329</v>
      </c>
      <c r="I112" s="4">
        <f t="shared" si="26"/>
        <v>17.583333333333332</v>
      </c>
      <c r="J112" s="5"/>
      <c r="K112" s="4">
        <v>74</v>
      </c>
      <c r="L112" s="4">
        <f t="shared" si="27"/>
        <v>222</v>
      </c>
      <c r="M112" s="4">
        <f t="shared" si="28"/>
        <v>55.5</v>
      </c>
      <c r="N112" s="4">
        <f t="shared" si="29"/>
        <v>73.083333333333329</v>
      </c>
    </row>
    <row r="113" spans="1:15" x14ac:dyDescent="0.3">
      <c r="A113" s="2">
        <v>14</v>
      </c>
      <c r="B113" s="1" t="s">
        <v>36</v>
      </c>
      <c r="C113" s="4">
        <v>55</v>
      </c>
      <c r="D113" s="4">
        <v>69</v>
      </c>
      <c r="E113" s="4">
        <v>70</v>
      </c>
      <c r="F113" s="5"/>
      <c r="G113" s="6">
        <f t="shared" si="24"/>
        <v>194</v>
      </c>
      <c r="H113" s="4">
        <f t="shared" si="25"/>
        <v>64.666666666666671</v>
      </c>
      <c r="I113" s="4">
        <f t="shared" si="26"/>
        <v>16.166666666666668</v>
      </c>
      <c r="J113" s="5"/>
      <c r="K113" s="4">
        <v>65</v>
      </c>
      <c r="L113" s="4">
        <f t="shared" si="27"/>
        <v>195</v>
      </c>
      <c r="M113" s="4">
        <f t="shared" si="28"/>
        <v>48.75</v>
      </c>
      <c r="N113" s="4">
        <f t="shared" si="29"/>
        <v>64.916666666666671</v>
      </c>
    </row>
    <row r="114" spans="1:15" x14ac:dyDescent="0.3">
      <c r="A114" s="2">
        <v>15</v>
      </c>
      <c r="B114" s="1" t="s">
        <v>28</v>
      </c>
      <c r="C114" s="4">
        <v>100</v>
      </c>
      <c r="D114" s="4">
        <v>97</v>
      </c>
      <c r="E114" s="4">
        <v>100</v>
      </c>
      <c r="F114" s="5"/>
      <c r="G114" s="6">
        <f t="shared" si="24"/>
        <v>297</v>
      </c>
      <c r="H114" s="4">
        <f t="shared" si="25"/>
        <v>99</v>
      </c>
      <c r="I114" s="4">
        <f t="shared" si="26"/>
        <v>24.75</v>
      </c>
      <c r="J114" s="5"/>
      <c r="K114" s="4">
        <v>100</v>
      </c>
      <c r="L114" s="4">
        <f t="shared" si="27"/>
        <v>300</v>
      </c>
      <c r="M114" s="4">
        <f t="shared" si="28"/>
        <v>75</v>
      </c>
      <c r="N114" s="4">
        <f t="shared" si="29"/>
        <v>99.75</v>
      </c>
    </row>
    <row r="115" spans="1:15" x14ac:dyDescent="0.3">
      <c r="A115" s="2">
        <v>16</v>
      </c>
      <c r="B115" s="8" t="s">
        <v>41</v>
      </c>
      <c r="C115" s="4">
        <v>58</v>
      </c>
      <c r="D115" s="4">
        <v>61</v>
      </c>
      <c r="E115" s="4">
        <v>66</v>
      </c>
      <c r="F115" s="5"/>
      <c r="G115" s="6">
        <f t="shared" si="24"/>
        <v>185</v>
      </c>
      <c r="H115" s="4">
        <f t="shared" si="25"/>
        <v>61.666666666666664</v>
      </c>
      <c r="I115" s="4">
        <f t="shared" si="26"/>
        <v>15.416666666666666</v>
      </c>
      <c r="J115" s="5"/>
      <c r="K115" s="4">
        <v>66</v>
      </c>
      <c r="L115" s="4">
        <f t="shared" si="27"/>
        <v>198</v>
      </c>
      <c r="M115" s="4">
        <f t="shared" si="28"/>
        <v>49.5</v>
      </c>
      <c r="N115" s="4">
        <f t="shared" si="29"/>
        <v>64.916666666666671</v>
      </c>
    </row>
    <row r="116" spans="1:15" x14ac:dyDescent="0.3">
      <c r="F116" s="5"/>
    </row>
    <row r="117" spans="1:15" x14ac:dyDescent="0.3">
      <c r="C117" s="2">
        <f>AVERAGE(C100:C115)</f>
        <v>68.6875</v>
      </c>
    </row>
    <row r="119" spans="1:15" x14ac:dyDescent="0.3">
      <c r="A119" s="63" t="s">
        <v>0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x14ac:dyDescent="0.3">
      <c r="A120" s="63" t="s">
        <v>1</v>
      </c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1:15" x14ac:dyDescent="0.3">
      <c r="A121" s="63" t="s">
        <v>27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1:15" x14ac:dyDescent="0.3">
      <c r="B122" s="64" t="s">
        <v>23</v>
      </c>
      <c r="C122" s="64"/>
      <c r="D122" s="64"/>
    </row>
    <row r="123" spans="1:15" x14ac:dyDescent="0.3">
      <c r="C123" s="1" t="s">
        <v>4</v>
      </c>
      <c r="D123" s="1" t="s">
        <v>5</v>
      </c>
      <c r="E123" s="1" t="s">
        <v>6</v>
      </c>
      <c r="F123" s="1"/>
      <c r="G123" s="1" t="s">
        <v>7</v>
      </c>
      <c r="H123" s="1" t="s">
        <v>8</v>
      </c>
      <c r="I123" s="3">
        <v>0.25</v>
      </c>
      <c r="J123" s="1"/>
      <c r="K123" s="1" t="s">
        <v>9</v>
      </c>
      <c r="L123" s="1"/>
      <c r="M123" s="3">
        <v>0.75</v>
      </c>
      <c r="N123" s="1" t="s">
        <v>10</v>
      </c>
    </row>
    <row r="124" spans="1:15" x14ac:dyDescent="0.3">
      <c r="A124" s="2">
        <v>1</v>
      </c>
      <c r="B124" s="8" t="s">
        <v>34</v>
      </c>
      <c r="C124" s="4">
        <v>65</v>
      </c>
      <c r="D124" s="4">
        <v>55</v>
      </c>
      <c r="E124" s="4">
        <v>58</v>
      </c>
      <c r="F124" s="5"/>
      <c r="G124" s="6">
        <f>SUM(C124:E124)</f>
        <v>178</v>
      </c>
      <c r="H124" s="4">
        <f>AVERAGE(C124:E124)</f>
        <v>59.333333333333336</v>
      </c>
      <c r="I124" s="4">
        <f>G124/12</f>
        <v>14.833333333333334</v>
      </c>
      <c r="J124" s="5"/>
      <c r="K124" s="4">
        <v>65</v>
      </c>
      <c r="L124" s="4">
        <f>K124*3</f>
        <v>195</v>
      </c>
      <c r="M124" s="4">
        <f>L124/4</f>
        <v>48.75</v>
      </c>
      <c r="N124" s="4">
        <f>M124+I124</f>
        <v>63.583333333333336</v>
      </c>
    </row>
    <row r="125" spans="1:15" x14ac:dyDescent="0.3">
      <c r="A125" s="2">
        <v>2</v>
      </c>
      <c r="B125" s="8" t="s">
        <v>39</v>
      </c>
      <c r="C125" s="4">
        <v>69</v>
      </c>
      <c r="D125" s="4">
        <v>65</v>
      </c>
      <c r="E125" s="4">
        <v>62</v>
      </c>
      <c r="F125" s="5"/>
      <c r="G125" s="6">
        <f t="shared" ref="G125:G139" si="30">SUM(C125:E125)</f>
        <v>196</v>
      </c>
      <c r="H125" s="4">
        <f t="shared" ref="H125:H139" si="31">AVERAGE(C125:E125)</f>
        <v>65.333333333333329</v>
      </c>
      <c r="I125" s="4">
        <f t="shared" ref="I125:I139" si="32">G125/12</f>
        <v>16.333333333333332</v>
      </c>
      <c r="J125" s="5"/>
      <c r="K125" s="4">
        <v>69</v>
      </c>
      <c r="L125" s="4">
        <f t="shared" ref="L125:L139" si="33">K125*3</f>
        <v>207</v>
      </c>
      <c r="M125" s="4">
        <f t="shared" ref="M125:M139" si="34">L125/4</f>
        <v>51.75</v>
      </c>
      <c r="N125" s="4">
        <f t="shared" ref="N125:N139" si="35">M125+I125</f>
        <v>68.083333333333329</v>
      </c>
    </row>
    <row r="126" spans="1:15" x14ac:dyDescent="0.3">
      <c r="A126" s="2">
        <v>3</v>
      </c>
      <c r="B126" s="8" t="s">
        <v>35</v>
      </c>
      <c r="C126" s="4">
        <v>52</v>
      </c>
      <c r="D126" s="4">
        <v>50</v>
      </c>
      <c r="E126" s="4">
        <v>55</v>
      </c>
      <c r="F126" s="5"/>
      <c r="G126" s="6">
        <f t="shared" si="30"/>
        <v>157</v>
      </c>
      <c r="H126" s="4">
        <f t="shared" si="31"/>
        <v>52.333333333333336</v>
      </c>
      <c r="I126" s="4">
        <f t="shared" si="32"/>
        <v>13.083333333333334</v>
      </c>
      <c r="J126" s="5"/>
      <c r="K126" s="4">
        <v>65</v>
      </c>
      <c r="L126" s="4">
        <f t="shared" si="33"/>
        <v>195</v>
      </c>
      <c r="M126" s="4">
        <f t="shared" si="34"/>
        <v>48.75</v>
      </c>
      <c r="N126" s="4">
        <f t="shared" si="35"/>
        <v>61.833333333333336</v>
      </c>
    </row>
    <row r="127" spans="1:15" x14ac:dyDescent="0.3">
      <c r="A127" s="2">
        <v>4</v>
      </c>
      <c r="B127" s="8" t="s">
        <v>33</v>
      </c>
      <c r="C127" s="4">
        <v>81</v>
      </c>
      <c r="D127" s="4">
        <v>76</v>
      </c>
      <c r="E127" s="4">
        <v>58</v>
      </c>
      <c r="F127" s="5"/>
      <c r="G127" s="6">
        <f t="shared" si="30"/>
        <v>215</v>
      </c>
      <c r="H127" s="4">
        <f t="shared" si="31"/>
        <v>71.666666666666671</v>
      </c>
      <c r="I127" s="4">
        <f t="shared" si="32"/>
        <v>17.916666666666668</v>
      </c>
      <c r="J127" s="5"/>
      <c r="K127" s="4">
        <v>72</v>
      </c>
      <c r="L127" s="4">
        <f t="shared" si="33"/>
        <v>216</v>
      </c>
      <c r="M127" s="4">
        <f t="shared" si="34"/>
        <v>54</v>
      </c>
      <c r="N127" s="4">
        <f t="shared" si="35"/>
        <v>71.916666666666671</v>
      </c>
    </row>
    <row r="128" spans="1:15" x14ac:dyDescent="0.3">
      <c r="A128" s="2">
        <v>5</v>
      </c>
      <c r="B128" s="8" t="s">
        <v>40</v>
      </c>
      <c r="C128" s="4">
        <v>54</v>
      </c>
      <c r="D128" s="4">
        <v>52</v>
      </c>
      <c r="E128" s="4">
        <v>70</v>
      </c>
      <c r="F128" s="5"/>
      <c r="G128" s="6">
        <f t="shared" si="30"/>
        <v>176</v>
      </c>
      <c r="H128" s="4">
        <f t="shared" si="31"/>
        <v>58.666666666666664</v>
      </c>
      <c r="I128" s="4">
        <f t="shared" si="32"/>
        <v>14.666666666666666</v>
      </c>
      <c r="J128" s="5"/>
      <c r="K128" s="4">
        <v>69</v>
      </c>
      <c r="L128" s="4">
        <f t="shared" si="33"/>
        <v>207</v>
      </c>
      <c r="M128" s="4">
        <f t="shared" si="34"/>
        <v>51.75</v>
      </c>
      <c r="N128" s="4">
        <f t="shared" si="35"/>
        <v>66.416666666666671</v>
      </c>
    </row>
    <row r="129" spans="1:15" x14ac:dyDescent="0.3">
      <c r="A129" s="2">
        <v>6</v>
      </c>
      <c r="B129" s="8" t="s">
        <v>43</v>
      </c>
      <c r="C129" s="4">
        <v>62</v>
      </c>
      <c r="D129" s="4">
        <v>62</v>
      </c>
      <c r="E129" s="4">
        <v>65</v>
      </c>
      <c r="F129" s="5"/>
      <c r="G129" s="6">
        <f t="shared" si="30"/>
        <v>189</v>
      </c>
      <c r="H129" s="4">
        <f t="shared" si="31"/>
        <v>63</v>
      </c>
      <c r="I129" s="4">
        <f t="shared" si="32"/>
        <v>15.75</v>
      </c>
      <c r="J129" s="5"/>
      <c r="K129" s="4">
        <v>70</v>
      </c>
      <c r="L129" s="4">
        <f t="shared" si="33"/>
        <v>210</v>
      </c>
      <c r="M129" s="4">
        <f t="shared" si="34"/>
        <v>52.5</v>
      </c>
      <c r="N129" s="4">
        <f t="shared" si="35"/>
        <v>68.25</v>
      </c>
    </row>
    <row r="130" spans="1:15" x14ac:dyDescent="0.3">
      <c r="A130" s="2">
        <v>7</v>
      </c>
      <c r="B130" s="8" t="s">
        <v>29</v>
      </c>
      <c r="C130" s="4">
        <v>83</v>
      </c>
      <c r="D130" s="4">
        <v>80</v>
      </c>
      <c r="E130" s="4">
        <v>84</v>
      </c>
      <c r="F130" s="5"/>
      <c r="G130" s="6">
        <f t="shared" si="30"/>
        <v>247</v>
      </c>
      <c r="H130" s="4">
        <f t="shared" si="31"/>
        <v>82.333333333333329</v>
      </c>
      <c r="I130" s="4">
        <f t="shared" si="32"/>
        <v>20.583333333333332</v>
      </c>
      <c r="J130" s="5"/>
      <c r="K130" s="4">
        <v>88</v>
      </c>
      <c r="L130" s="4">
        <f t="shared" si="33"/>
        <v>264</v>
      </c>
      <c r="M130" s="4">
        <f t="shared" si="34"/>
        <v>66</v>
      </c>
      <c r="N130" s="4">
        <f t="shared" si="35"/>
        <v>86.583333333333329</v>
      </c>
    </row>
    <row r="131" spans="1:15" x14ac:dyDescent="0.3">
      <c r="A131" s="2">
        <v>8</v>
      </c>
      <c r="B131" s="8" t="s">
        <v>37</v>
      </c>
      <c r="C131" s="4">
        <v>65</v>
      </c>
      <c r="D131" s="4">
        <v>54</v>
      </c>
      <c r="E131" s="4">
        <v>65</v>
      </c>
      <c r="F131" s="5"/>
      <c r="G131" s="6">
        <f t="shared" si="30"/>
        <v>184</v>
      </c>
      <c r="H131" s="4">
        <f t="shared" si="31"/>
        <v>61.333333333333336</v>
      </c>
      <c r="I131" s="4">
        <f t="shared" si="32"/>
        <v>15.333333333333334</v>
      </c>
      <c r="J131" s="5"/>
      <c r="K131" s="4">
        <v>65</v>
      </c>
      <c r="L131" s="4">
        <f t="shared" si="33"/>
        <v>195</v>
      </c>
      <c r="M131" s="4">
        <f t="shared" si="34"/>
        <v>48.75</v>
      </c>
      <c r="N131" s="4">
        <f t="shared" si="35"/>
        <v>64.083333333333329</v>
      </c>
    </row>
    <row r="132" spans="1:15" x14ac:dyDescent="0.3">
      <c r="A132" s="2">
        <v>9</v>
      </c>
      <c r="B132" s="8" t="s">
        <v>42</v>
      </c>
      <c r="C132" s="4">
        <v>62</v>
      </c>
      <c r="D132" s="4">
        <v>60</v>
      </c>
      <c r="E132" s="4">
        <v>58</v>
      </c>
      <c r="F132" s="5"/>
      <c r="G132" s="6">
        <f t="shared" si="30"/>
        <v>180</v>
      </c>
      <c r="H132" s="4">
        <f t="shared" si="31"/>
        <v>60</v>
      </c>
      <c r="I132" s="4">
        <f t="shared" si="32"/>
        <v>15</v>
      </c>
      <c r="J132" s="5"/>
      <c r="K132" s="4">
        <v>65</v>
      </c>
      <c r="L132" s="4">
        <f t="shared" si="33"/>
        <v>195</v>
      </c>
      <c r="M132" s="4">
        <f t="shared" si="34"/>
        <v>48.75</v>
      </c>
      <c r="N132" s="4">
        <f t="shared" si="35"/>
        <v>63.75</v>
      </c>
    </row>
    <row r="133" spans="1:15" x14ac:dyDescent="0.3">
      <c r="A133" s="2">
        <v>10</v>
      </c>
      <c r="B133" s="8" t="s">
        <v>38</v>
      </c>
      <c r="C133" s="4">
        <v>38</v>
      </c>
      <c r="D133" s="4">
        <v>37</v>
      </c>
      <c r="E133" s="4">
        <v>55</v>
      </c>
      <c r="F133" s="5"/>
      <c r="G133" s="6">
        <f t="shared" si="30"/>
        <v>130</v>
      </c>
      <c r="H133" s="4">
        <f t="shared" si="31"/>
        <v>43.333333333333336</v>
      </c>
      <c r="I133" s="4">
        <f t="shared" si="32"/>
        <v>10.833333333333334</v>
      </c>
      <c r="J133" s="5"/>
      <c r="K133" s="4">
        <v>75</v>
      </c>
      <c r="L133" s="4">
        <f t="shared" si="33"/>
        <v>225</v>
      </c>
      <c r="M133" s="4">
        <f t="shared" si="34"/>
        <v>56.25</v>
      </c>
      <c r="N133" s="4">
        <f t="shared" si="35"/>
        <v>67.083333333333329</v>
      </c>
    </row>
    <row r="134" spans="1:15" x14ac:dyDescent="0.3">
      <c r="A134" s="2">
        <v>11</v>
      </c>
      <c r="B134" s="8" t="s">
        <v>31</v>
      </c>
      <c r="C134" s="4">
        <v>85</v>
      </c>
      <c r="D134" s="4">
        <v>82</v>
      </c>
      <c r="E134" s="4">
        <v>88</v>
      </c>
      <c r="F134" s="5"/>
      <c r="G134" s="6">
        <f t="shared" si="30"/>
        <v>255</v>
      </c>
      <c r="H134" s="4">
        <f t="shared" si="31"/>
        <v>85</v>
      </c>
      <c r="I134" s="4">
        <f t="shared" si="32"/>
        <v>21.25</v>
      </c>
      <c r="J134" s="5"/>
      <c r="K134" s="4">
        <v>89</v>
      </c>
      <c r="L134" s="4">
        <f t="shared" si="33"/>
        <v>267</v>
      </c>
      <c r="M134" s="4">
        <f t="shared" si="34"/>
        <v>66.75</v>
      </c>
      <c r="N134" s="4">
        <f t="shared" si="35"/>
        <v>88</v>
      </c>
    </row>
    <row r="135" spans="1:15" x14ac:dyDescent="0.3">
      <c r="A135" s="2">
        <v>12</v>
      </c>
      <c r="B135" s="8" t="s">
        <v>30</v>
      </c>
      <c r="C135" s="4">
        <v>80</v>
      </c>
      <c r="D135" s="4">
        <v>77</v>
      </c>
      <c r="E135" s="4">
        <v>83</v>
      </c>
      <c r="F135" s="5"/>
      <c r="G135" s="6">
        <f t="shared" si="30"/>
        <v>240</v>
      </c>
      <c r="H135" s="4">
        <f t="shared" si="31"/>
        <v>80</v>
      </c>
      <c r="I135" s="4">
        <f t="shared" si="32"/>
        <v>20</v>
      </c>
      <c r="J135" s="5"/>
      <c r="K135" s="4">
        <v>87</v>
      </c>
      <c r="L135" s="4">
        <f t="shared" si="33"/>
        <v>261</v>
      </c>
      <c r="M135" s="4">
        <f t="shared" si="34"/>
        <v>65.25</v>
      </c>
      <c r="N135" s="4">
        <f t="shared" si="35"/>
        <v>85.25</v>
      </c>
    </row>
    <row r="136" spans="1:15" x14ac:dyDescent="0.3">
      <c r="A136" s="2">
        <v>13</v>
      </c>
      <c r="B136" s="8" t="s">
        <v>32</v>
      </c>
      <c r="C136" s="4">
        <v>55</v>
      </c>
      <c r="D136" s="4">
        <v>49</v>
      </c>
      <c r="E136" s="4">
        <v>62</v>
      </c>
      <c r="F136" s="5"/>
      <c r="G136" s="6">
        <f t="shared" si="30"/>
        <v>166</v>
      </c>
      <c r="H136" s="4">
        <f t="shared" si="31"/>
        <v>55.333333333333336</v>
      </c>
      <c r="I136" s="4">
        <f t="shared" si="32"/>
        <v>13.833333333333334</v>
      </c>
      <c r="J136" s="5"/>
      <c r="K136" s="4">
        <v>65</v>
      </c>
      <c r="L136" s="4">
        <f t="shared" si="33"/>
        <v>195</v>
      </c>
      <c r="M136" s="4">
        <f t="shared" si="34"/>
        <v>48.75</v>
      </c>
      <c r="N136" s="4">
        <f t="shared" si="35"/>
        <v>62.583333333333336</v>
      </c>
    </row>
    <row r="137" spans="1:15" x14ac:dyDescent="0.3">
      <c r="A137" s="2">
        <v>14</v>
      </c>
      <c r="B137" s="1" t="s">
        <v>36</v>
      </c>
      <c r="C137" s="4">
        <v>54</v>
      </c>
      <c r="D137" s="4">
        <v>48</v>
      </c>
      <c r="E137" s="4">
        <v>52</v>
      </c>
      <c r="F137" s="5"/>
      <c r="G137" s="6">
        <f t="shared" si="30"/>
        <v>154</v>
      </c>
      <c r="H137" s="4">
        <f t="shared" si="31"/>
        <v>51.333333333333336</v>
      </c>
      <c r="I137" s="4">
        <f t="shared" si="32"/>
        <v>12.833333333333334</v>
      </c>
      <c r="J137" s="5"/>
      <c r="K137" s="4">
        <v>58</v>
      </c>
      <c r="L137" s="4">
        <f t="shared" si="33"/>
        <v>174</v>
      </c>
      <c r="M137" s="4">
        <f t="shared" si="34"/>
        <v>43.5</v>
      </c>
      <c r="N137" s="4">
        <f t="shared" si="35"/>
        <v>56.333333333333336</v>
      </c>
    </row>
    <row r="138" spans="1:15" x14ac:dyDescent="0.3">
      <c r="A138" s="2">
        <v>15</v>
      </c>
      <c r="B138" s="1" t="s">
        <v>28</v>
      </c>
      <c r="C138" s="4">
        <v>98</v>
      </c>
      <c r="D138" s="4">
        <v>95</v>
      </c>
      <c r="E138" s="4">
        <v>100</v>
      </c>
      <c r="F138" s="5"/>
      <c r="G138" s="6">
        <f t="shared" si="30"/>
        <v>293</v>
      </c>
      <c r="H138" s="4">
        <f t="shared" si="31"/>
        <v>97.666666666666671</v>
      </c>
      <c r="I138" s="4">
        <f t="shared" si="32"/>
        <v>24.416666666666668</v>
      </c>
      <c r="J138" s="5"/>
      <c r="K138" s="4">
        <v>99</v>
      </c>
      <c r="L138" s="4">
        <f t="shared" si="33"/>
        <v>297</v>
      </c>
      <c r="M138" s="4">
        <f t="shared" si="34"/>
        <v>74.25</v>
      </c>
      <c r="N138" s="4">
        <f t="shared" si="35"/>
        <v>98.666666666666671</v>
      </c>
    </row>
    <row r="139" spans="1:15" x14ac:dyDescent="0.3">
      <c r="A139" s="2">
        <v>16</v>
      </c>
      <c r="B139" s="8" t="s">
        <v>41</v>
      </c>
      <c r="C139" s="4">
        <v>52</v>
      </c>
      <c r="D139" s="4">
        <v>45</v>
      </c>
      <c r="E139" s="4">
        <v>54</v>
      </c>
      <c r="F139" s="5"/>
      <c r="G139" s="6">
        <f t="shared" si="30"/>
        <v>151</v>
      </c>
      <c r="H139" s="4">
        <f t="shared" si="31"/>
        <v>50.333333333333336</v>
      </c>
      <c r="I139" s="4">
        <f t="shared" si="32"/>
        <v>12.583333333333334</v>
      </c>
      <c r="J139" s="5"/>
      <c r="K139" s="4">
        <v>75</v>
      </c>
      <c r="L139" s="4">
        <f t="shared" si="33"/>
        <v>225</v>
      </c>
      <c r="M139" s="4">
        <f t="shared" si="34"/>
        <v>56.25</v>
      </c>
      <c r="N139" s="4">
        <f t="shared" si="35"/>
        <v>68.833333333333329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27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46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8" t="s">
        <v>34</v>
      </c>
      <c r="C147" s="4">
        <v>65</v>
      </c>
      <c r="D147" s="4">
        <v>57</v>
      </c>
      <c r="E147" s="4">
        <v>62</v>
      </c>
      <c r="F147" s="5"/>
      <c r="G147" s="6">
        <f>SUM(C147:E147)</f>
        <v>184</v>
      </c>
      <c r="H147" s="4">
        <f>AVERAGE(C147:E147)</f>
        <v>61.333333333333336</v>
      </c>
      <c r="I147" s="4">
        <f>G147/12</f>
        <v>15.333333333333334</v>
      </c>
      <c r="J147" s="5"/>
      <c r="K147" s="4">
        <v>58</v>
      </c>
      <c r="L147" s="4">
        <f>K147*3</f>
        <v>174</v>
      </c>
      <c r="M147" s="4">
        <f>L147/4</f>
        <v>43.5</v>
      </c>
      <c r="N147" s="4">
        <f>M147+I147</f>
        <v>58.833333333333336</v>
      </c>
    </row>
    <row r="148" spans="1:14" x14ac:dyDescent="0.3">
      <c r="A148" s="2">
        <v>2</v>
      </c>
      <c r="B148" s="8" t="s">
        <v>39</v>
      </c>
      <c r="C148" s="4">
        <v>69</v>
      </c>
      <c r="D148" s="4">
        <v>62</v>
      </c>
      <c r="E148" s="4">
        <v>58</v>
      </c>
      <c r="F148" s="5"/>
      <c r="G148" s="6">
        <f t="shared" ref="G148:G162" si="36">SUM(C148:E148)</f>
        <v>189</v>
      </c>
      <c r="H148" s="4">
        <f t="shared" ref="H148:H162" si="37">AVERAGE(C148:E148)</f>
        <v>63</v>
      </c>
      <c r="I148" s="4">
        <f t="shared" ref="I148:I162" si="38">G148/12</f>
        <v>15.75</v>
      </c>
      <c r="J148" s="5"/>
      <c r="K148" s="4">
        <v>65</v>
      </c>
      <c r="L148" s="4">
        <f t="shared" ref="L148:L162" si="39">K148*3</f>
        <v>195</v>
      </c>
      <c r="M148" s="4">
        <f t="shared" ref="M148:M162" si="40">L148/4</f>
        <v>48.75</v>
      </c>
      <c r="N148" s="4">
        <f t="shared" ref="N148:N162" si="41">M148+I148</f>
        <v>64.5</v>
      </c>
    </row>
    <row r="149" spans="1:14" x14ac:dyDescent="0.3">
      <c r="A149" s="2">
        <v>3</v>
      </c>
      <c r="B149" s="8" t="s">
        <v>35</v>
      </c>
      <c r="C149" s="4">
        <v>58</v>
      </c>
      <c r="D149" s="4">
        <v>58</v>
      </c>
      <c r="E149" s="4">
        <v>54</v>
      </c>
      <c r="F149" s="5"/>
      <c r="G149" s="6">
        <f t="shared" si="36"/>
        <v>170</v>
      </c>
      <c r="H149" s="4">
        <f t="shared" si="37"/>
        <v>56.666666666666664</v>
      </c>
      <c r="I149" s="4">
        <f t="shared" si="38"/>
        <v>14.166666666666666</v>
      </c>
      <c r="J149" s="5"/>
      <c r="K149" s="4">
        <v>58</v>
      </c>
      <c r="L149" s="4">
        <f t="shared" si="39"/>
        <v>174</v>
      </c>
      <c r="M149" s="4">
        <f t="shared" si="40"/>
        <v>43.5</v>
      </c>
      <c r="N149" s="4">
        <f t="shared" si="41"/>
        <v>57.666666666666664</v>
      </c>
    </row>
    <row r="150" spans="1:14" x14ac:dyDescent="0.3">
      <c r="A150" s="2">
        <v>4</v>
      </c>
      <c r="B150" s="8" t="s">
        <v>33</v>
      </c>
      <c r="C150" s="4">
        <v>81</v>
      </c>
      <c r="D150" s="4">
        <v>82</v>
      </c>
      <c r="E150" s="4">
        <v>80</v>
      </c>
      <c r="F150" s="5"/>
      <c r="G150" s="6">
        <f t="shared" si="36"/>
        <v>243</v>
      </c>
      <c r="H150" s="4">
        <f t="shared" si="37"/>
        <v>81</v>
      </c>
      <c r="I150" s="4">
        <f t="shared" si="38"/>
        <v>20.25</v>
      </c>
      <c r="J150" s="5"/>
      <c r="K150" s="4">
        <v>83</v>
      </c>
      <c r="L150" s="4">
        <f t="shared" si="39"/>
        <v>249</v>
      </c>
      <c r="M150" s="4">
        <f t="shared" si="40"/>
        <v>62.25</v>
      </c>
      <c r="N150" s="4">
        <f t="shared" si="41"/>
        <v>82.5</v>
      </c>
    </row>
    <row r="151" spans="1:14" x14ac:dyDescent="0.3">
      <c r="A151" s="2">
        <v>5</v>
      </c>
      <c r="B151" s="8" t="s">
        <v>40</v>
      </c>
      <c r="C151" s="4">
        <v>62</v>
      </c>
      <c r="D151" s="4">
        <v>65</v>
      </c>
      <c r="E151" s="4">
        <v>62</v>
      </c>
      <c r="F151" s="5"/>
      <c r="G151" s="6">
        <f t="shared" si="36"/>
        <v>189</v>
      </c>
      <c r="H151" s="4">
        <f t="shared" si="37"/>
        <v>63</v>
      </c>
      <c r="I151" s="4">
        <f t="shared" si="38"/>
        <v>15.75</v>
      </c>
      <c r="J151" s="5"/>
      <c r="K151" s="4">
        <v>65</v>
      </c>
      <c r="L151" s="4">
        <f t="shared" si="39"/>
        <v>195</v>
      </c>
      <c r="M151" s="4">
        <f t="shared" si="40"/>
        <v>48.75</v>
      </c>
      <c r="N151" s="4">
        <f t="shared" si="41"/>
        <v>64.5</v>
      </c>
    </row>
    <row r="152" spans="1:14" x14ac:dyDescent="0.3">
      <c r="A152" s="2">
        <v>6</v>
      </c>
      <c r="B152" s="8" t="s">
        <v>43</v>
      </c>
      <c r="C152" s="4">
        <v>77</v>
      </c>
      <c r="D152" s="4">
        <v>81</v>
      </c>
      <c r="E152" s="4">
        <v>77</v>
      </c>
      <c r="F152" s="5"/>
      <c r="G152" s="6">
        <f t="shared" si="36"/>
        <v>235</v>
      </c>
      <c r="H152" s="4">
        <f t="shared" si="37"/>
        <v>78.333333333333329</v>
      </c>
      <c r="I152" s="4">
        <f t="shared" si="38"/>
        <v>19.583333333333332</v>
      </c>
      <c r="J152" s="5"/>
      <c r="K152" s="4">
        <v>81</v>
      </c>
      <c r="L152" s="4">
        <f t="shared" si="39"/>
        <v>243</v>
      </c>
      <c r="M152" s="4">
        <f t="shared" si="40"/>
        <v>60.75</v>
      </c>
      <c r="N152" s="4">
        <f t="shared" si="41"/>
        <v>80.333333333333329</v>
      </c>
    </row>
    <row r="153" spans="1:14" x14ac:dyDescent="0.3">
      <c r="A153" s="2">
        <v>7</v>
      </c>
      <c r="B153" s="8" t="s">
        <v>29</v>
      </c>
      <c r="C153" s="4">
        <v>88</v>
      </c>
      <c r="D153" s="4">
        <v>89</v>
      </c>
      <c r="E153" s="4">
        <v>89</v>
      </c>
      <c r="F153" s="5"/>
      <c r="G153" s="6">
        <f t="shared" si="36"/>
        <v>266</v>
      </c>
      <c r="H153" s="4">
        <f t="shared" si="37"/>
        <v>88.666666666666671</v>
      </c>
      <c r="I153" s="4">
        <f t="shared" si="38"/>
        <v>22.166666666666668</v>
      </c>
      <c r="J153" s="5"/>
      <c r="K153" s="4">
        <v>90</v>
      </c>
      <c r="L153" s="4">
        <f t="shared" si="39"/>
        <v>270</v>
      </c>
      <c r="M153" s="4">
        <f t="shared" si="40"/>
        <v>67.5</v>
      </c>
      <c r="N153" s="4">
        <f t="shared" si="41"/>
        <v>89.666666666666671</v>
      </c>
    </row>
    <row r="154" spans="1:14" x14ac:dyDescent="0.3">
      <c r="A154" s="2">
        <v>8</v>
      </c>
      <c r="B154" s="8" t="s">
        <v>37</v>
      </c>
      <c r="C154" s="4">
        <v>62</v>
      </c>
      <c r="D154" s="4">
        <v>71</v>
      </c>
      <c r="E154" s="4">
        <v>54</v>
      </c>
      <c r="F154" s="5"/>
      <c r="G154" s="6">
        <f t="shared" si="36"/>
        <v>187</v>
      </c>
      <c r="H154" s="4">
        <f t="shared" si="37"/>
        <v>62.333333333333336</v>
      </c>
      <c r="I154" s="4">
        <f t="shared" si="38"/>
        <v>15.583333333333334</v>
      </c>
      <c r="J154" s="5"/>
      <c r="K154" s="4">
        <v>65</v>
      </c>
      <c r="L154" s="4">
        <f t="shared" si="39"/>
        <v>195</v>
      </c>
      <c r="M154" s="4">
        <f t="shared" si="40"/>
        <v>48.75</v>
      </c>
      <c r="N154" s="4">
        <f t="shared" si="41"/>
        <v>64.333333333333329</v>
      </c>
    </row>
    <row r="155" spans="1:14" x14ac:dyDescent="0.3">
      <c r="A155" s="2">
        <v>9</v>
      </c>
      <c r="B155" s="8" t="s">
        <v>42</v>
      </c>
      <c r="C155" s="4">
        <v>55</v>
      </c>
      <c r="D155" s="4">
        <v>58</v>
      </c>
      <c r="E155" s="4">
        <v>52</v>
      </c>
      <c r="F155" s="5"/>
      <c r="G155" s="6">
        <f t="shared" si="36"/>
        <v>165</v>
      </c>
      <c r="H155" s="4">
        <f t="shared" si="37"/>
        <v>55</v>
      </c>
      <c r="I155" s="4">
        <f t="shared" si="38"/>
        <v>13.75</v>
      </c>
      <c r="J155" s="5"/>
      <c r="K155" s="4">
        <v>59</v>
      </c>
      <c r="L155" s="4">
        <f t="shared" si="39"/>
        <v>177</v>
      </c>
      <c r="M155" s="4">
        <f t="shared" si="40"/>
        <v>44.25</v>
      </c>
      <c r="N155" s="4">
        <f t="shared" si="41"/>
        <v>58</v>
      </c>
    </row>
    <row r="156" spans="1:14" x14ac:dyDescent="0.3">
      <c r="A156" s="2">
        <v>10</v>
      </c>
      <c r="B156" s="8" t="s">
        <v>38</v>
      </c>
      <c r="C156" s="4">
        <v>56</v>
      </c>
      <c r="D156" s="4">
        <v>65</v>
      </c>
      <c r="E156" s="4">
        <v>62</v>
      </c>
      <c r="F156" s="5"/>
      <c r="G156" s="6">
        <f t="shared" si="36"/>
        <v>183</v>
      </c>
      <c r="H156" s="4">
        <f t="shared" si="37"/>
        <v>61</v>
      </c>
      <c r="I156" s="4">
        <f t="shared" si="38"/>
        <v>15.25</v>
      </c>
      <c r="J156" s="5"/>
      <c r="K156" s="4">
        <v>62</v>
      </c>
      <c r="L156" s="4">
        <f t="shared" si="39"/>
        <v>186</v>
      </c>
      <c r="M156" s="4">
        <f t="shared" si="40"/>
        <v>46.5</v>
      </c>
      <c r="N156" s="4">
        <f t="shared" si="41"/>
        <v>61.75</v>
      </c>
    </row>
    <row r="157" spans="1:14" x14ac:dyDescent="0.3">
      <c r="A157" s="2">
        <v>11</v>
      </c>
      <c r="B157" s="8" t="s">
        <v>31</v>
      </c>
      <c r="C157" s="4">
        <v>94</v>
      </c>
      <c r="D157" s="4">
        <v>96</v>
      </c>
      <c r="E157" s="4">
        <v>96</v>
      </c>
      <c r="F157" s="5"/>
      <c r="G157" s="6">
        <f t="shared" si="36"/>
        <v>286</v>
      </c>
      <c r="H157" s="4">
        <f t="shared" si="37"/>
        <v>95.333333333333329</v>
      </c>
      <c r="I157" s="4">
        <f t="shared" si="38"/>
        <v>23.833333333333332</v>
      </c>
      <c r="J157" s="5"/>
      <c r="K157" s="4">
        <v>96</v>
      </c>
      <c r="L157" s="4">
        <f t="shared" si="39"/>
        <v>288</v>
      </c>
      <c r="M157" s="4">
        <f t="shared" si="40"/>
        <v>72</v>
      </c>
      <c r="N157" s="4">
        <f t="shared" si="41"/>
        <v>95.833333333333329</v>
      </c>
    </row>
    <row r="158" spans="1:14" x14ac:dyDescent="0.3">
      <c r="A158" s="2">
        <v>12</v>
      </c>
      <c r="B158" s="8" t="s">
        <v>30</v>
      </c>
      <c r="C158" s="4">
        <v>87</v>
      </c>
      <c r="D158" s="4">
        <v>89</v>
      </c>
      <c r="E158" s="4">
        <v>85</v>
      </c>
      <c r="F158" s="5"/>
      <c r="G158" s="6">
        <f t="shared" si="36"/>
        <v>261</v>
      </c>
      <c r="H158" s="4">
        <f t="shared" si="37"/>
        <v>87</v>
      </c>
      <c r="I158" s="4">
        <f t="shared" si="38"/>
        <v>21.75</v>
      </c>
      <c r="J158" s="5"/>
      <c r="K158" s="4">
        <v>88</v>
      </c>
      <c r="L158" s="4">
        <f t="shared" si="39"/>
        <v>264</v>
      </c>
      <c r="M158" s="4">
        <f t="shared" si="40"/>
        <v>66</v>
      </c>
      <c r="N158" s="4">
        <f t="shared" si="41"/>
        <v>87.75</v>
      </c>
    </row>
    <row r="159" spans="1:14" x14ac:dyDescent="0.3">
      <c r="A159" s="2">
        <v>13</v>
      </c>
      <c r="B159" s="8" t="s">
        <v>32</v>
      </c>
      <c r="C159" s="4">
        <v>65</v>
      </c>
      <c r="D159" s="4">
        <v>70</v>
      </c>
      <c r="E159" s="4">
        <v>70</v>
      </c>
      <c r="F159" s="5"/>
      <c r="G159" s="6">
        <f t="shared" si="36"/>
        <v>205</v>
      </c>
      <c r="H159" s="4">
        <f t="shared" si="37"/>
        <v>68.333333333333329</v>
      </c>
      <c r="I159" s="4">
        <f t="shared" si="38"/>
        <v>17.083333333333332</v>
      </c>
      <c r="J159" s="5"/>
      <c r="K159" s="4">
        <v>65</v>
      </c>
      <c r="L159" s="4">
        <f t="shared" si="39"/>
        <v>195</v>
      </c>
      <c r="M159" s="4">
        <f t="shared" si="40"/>
        <v>48.75</v>
      </c>
      <c r="N159" s="4">
        <f t="shared" si="41"/>
        <v>65.833333333333329</v>
      </c>
    </row>
    <row r="160" spans="1:14" x14ac:dyDescent="0.3">
      <c r="A160" s="2">
        <v>14</v>
      </c>
      <c r="B160" s="1" t="s">
        <v>36</v>
      </c>
      <c r="C160" s="4">
        <v>75</v>
      </c>
      <c r="D160" s="4">
        <v>74</v>
      </c>
      <c r="E160" s="4">
        <v>65</v>
      </c>
      <c r="F160" s="5"/>
      <c r="G160" s="6">
        <f t="shared" si="36"/>
        <v>214</v>
      </c>
      <c r="H160" s="4">
        <f t="shared" si="37"/>
        <v>71.333333333333329</v>
      </c>
      <c r="I160" s="4">
        <f t="shared" si="38"/>
        <v>17.833333333333332</v>
      </c>
      <c r="J160" s="5"/>
      <c r="K160" s="4">
        <v>75</v>
      </c>
      <c r="L160" s="4">
        <f t="shared" si="39"/>
        <v>225</v>
      </c>
      <c r="M160" s="4">
        <f t="shared" si="40"/>
        <v>56.25</v>
      </c>
      <c r="N160" s="4">
        <f t="shared" si="41"/>
        <v>74.083333333333329</v>
      </c>
    </row>
    <row r="161" spans="1:15" x14ac:dyDescent="0.3">
      <c r="A161" s="2">
        <v>15</v>
      </c>
      <c r="B161" s="1" t="s">
        <v>28</v>
      </c>
      <c r="C161" s="4">
        <v>92</v>
      </c>
      <c r="D161" s="4">
        <v>94</v>
      </c>
      <c r="E161" s="4">
        <v>94</v>
      </c>
      <c r="F161" s="5"/>
      <c r="G161" s="6">
        <f t="shared" si="36"/>
        <v>280</v>
      </c>
      <c r="H161" s="4">
        <f t="shared" si="37"/>
        <v>93.333333333333329</v>
      </c>
      <c r="I161" s="4">
        <f t="shared" si="38"/>
        <v>23.333333333333332</v>
      </c>
      <c r="J161" s="5"/>
      <c r="K161" s="4">
        <v>94</v>
      </c>
      <c r="L161" s="4">
        <f t="shared" si="39"/>
        <v>282</v>
      </c>
      <c r="M161" s="4">
        <f t="shared" si="40"/>
        <v>70.5</v>
      </c>
      <c r="N161" s="4">
        <f t="shared" si="41"/>
        <v>93.833333333333329</v>
      </c>
    </row>
    <row r="162" spans="1:15" x14ac:dyDescent="0.3">
      <c r="A162" s="2">
        <v>16</v>
      </c>
      <c r="B162" s="8" t="s">
        <v>41</v>
      </c>
      <c r="C162" s="4">
        <v>62</v>
      </c>
      <c r="D162" s="4">
        <v>69</v>
      </c>
      <c r="E162" s="4">
        <v>77</v>
      </c>
      <c r="F162" s="5"/>
      <c r="G162" s="6">
        <f t="shared" si="36"/>
        <v>208</v>
      </c>
      <c r="H162" s="4">
        <f t="shared" si="37"/>
        <v>69.333333333333329</v>
      </c>
      <c r="I162" s="4">
        <f t="shared" si="38"/>
        <v>17.333333333333332</v>
      </c>
      <c r="J162" s="5"/>
      <c r="K162" s="4">
        <v>66</v>
      </c>
      <c r="L162" s="4">
        <f t="shared" si="39"/>
        <v>198</v>
      </c>
      <c r="M162" s="4">
        <f t="shared" si="40"/>
        <v>49.5</v>
      </c>
      <c r="N162" s="4">
        <f t="shared" si="41"/>
        <v>66.833333333333329</v>
      </c>
    </row>
    <row r="163" spans="1:15" x14ac:dyDescent="0.3">
      <c r="F163" s="5"/>
    </row>
    <row r="166" spans="1:15" x14ac:dyDescent="0.3">
      <c r="A166" s="63" t="s">
        <v>0</v>
      </c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1:15" x14ac:dyDescent="0.3">
      <c r="A167" s="63" t="s">
        <v>1</v>
      </c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1:15" x14ac:dyDescent="0.3">
      <c r="A168" s="63" t="s">
        <v>27</v>
      </c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1:15" x14ac:dyDescent="0.3">
      <c r="B169" s="64" t="s">
        <v>47</v>
      </c>
      <c r="C169" s="64"/>
      <c r="D169" s="64"/>
    </row>
    <row r="170" spans="1:15" x14ac:dyDescent="0.3">
      <c r="C170" s="1" t="s">
        <v>4</v>
      </c>
      <c r="D170" s="1" t="s">
        <v>5</v>
      </c>
      <c r="E170" s="1" t="s">
        <v>6</v>
      </c>
      <c r="F170" s="1"/>
      <c r="G170" s="1" t="s">
        <v>7</v>
      </c>
      <c r="H170" s="1" t="s">
        <v>8</v>
      </c>
      <c r="I170" s="3">
        <v>0.25</v>
      </c>
      <c r="J170" s="1"/>
      <c r="K170" s="1" t="s">
        <v>9</v>
      </c>
      <c r="L170" s="1"/>
      <c r="M170" s="3">
        <v>0.75</v>
      </c>
      <c r="N170" s="1" t="s">
        <v>10</v>
      </c>
    </row>
    <row r="171" spans="1:15" x14ac:dyDescent="0.3">
      <c r="A171" s="2">
        <v>1</v>
      </c>
      <c r="B171" s="8" t="s">
        <v>34</v>
      </c>
      <c r="C171" s="4">
        <v>71</v>
      </c>
      <c r="D171" s="4">
        <v>75</v>
      </c>
      <c r="E171" s="4">
        <v>72</v>
      </c>
      <c r="F171" s="5"/>
      <c r="G171" s="6">
        <f>SUM(C171:E171)</f>
        <v>218</v>
      </c>
      <c r="H171" s="4">
        <f>AVERAGE(C171:E171)</f>
        <v>72.666666666666671</v>
      </c>
      <c r="I171" s="4">
        <f>G171/12</f>
        <v>18.166666666666668</v>
      </c>
      <c r="J171" s="5"/>
      <c r="K171" s="4">
        <v>76</v>
      </c>
      <c r="L171" s="4">
        <f>K171*3</f>
        <v>228</v>
      </c>
      <c r="M171" s="4">
        <f>L171/4</f>
        <v>57</v>
      </c>
      <c r="N171" s="4">
        <f>M171+I171</f>
        <v>75.166666666666671</v>
      </c>
    </row>
    <row r="172" spans="1:15" x14ac:dyDescent="0.3">
      <c r="A172" s="2">
        <v>2</v>
      </c>
      <c r="B172" s="8" t="s">
        <v>39</v>
      </c>
      <c r="C172" s="4">
        <v>69</v>
      </c>
      <c r="D172" s="4">
        <v>69</v>
      </c>
      <c r="E172" s="4">
        <v>69</v>
      </c>
      <c r="F172" s="5"/>
      <c r="G172" s="6">
        <f t="shared" ref="G172:G186" si="42">SUM(C172:E172)</f>
        <v>207</v>
      </c>
      <c r="H172" s="4">
        <f t="shared" ref="H172:H186" si="43">AVERAGE(C172:E172)</f>
        <v>69</v>
      </c>
      <c r="I172" s="4">
        <f t="shared" ref="I172:I186" si="44">G172/12</f>
        <v>17.25</v>
      </c>
      <c r="J172" s="5"/>
      <c r="K172" s="4">
        <v>65</v>
      </c>
      <c r="L172" s="4">
        <f t="shared" ref="L172:L186" si="45">K172*3</f>
        <v>195</v>
      </c>
      <c r="M172" s="4">
        <f t="shared" ref="M172:M186" si="46">L172/4</f>
        <v>48.75</v>
      </c>
      <c r="N172" s="4">
        <f t="shared" ref="N172:N186" si="47">M172+I172</f>
        <v>66</v>
      </c>
    </row>
    <row r="173" spans="1:15" x14ac:dyDescent="0.3">
      <c r="A173" s="2">
        <v>3</v>
      </c>
      <c r="B173" s="8" t="s">
        <v>35</v>
      </c>
      <c r="C173" s="4">
        <v>59</v>
      </c>
      <c r="D173" s="4">
        <v>58</v>
      </c>
      <c r="E173" s="4">
        <v>58</v>
      </c>
      <c r="F173" s="5"/>
      <c r="G173" s="6">
        <f t="shared" si="42"/>
        <v>175</v>
      </c>
      <c r="H173" s="4">
        <f t="shared" si="43"/>
        <v>58.333333333333336</v>
      </c>
      <c r="I173" s="4">
        <f t="shared" si="44"/>
        <v>14.583333333333334</v>
      </c>
      <c r="J173" s="5"/>
      <c r="K173" s="4">
        <v>52</v>
      </c>
      <c r="L173" s="4">
        <f t="shared" si="45"/>
        <v>156</v>
      </c>
      <c r="M173" s="4">
        <f t="shared" si="46"/>
        <v>39</v>
      </c>
      <c r="N173" s="4">
        <f t="shared" si="47"/>
        <v>53.583333333333336</v>
      </c>
    </row>
    <row r="174" spans="1:15" x14ac:dyDescent="0.3">
      <c r="A174" s="2">
        <v>4</v>
      </c>
      <c r="B174" s="8" t="s">
        <v>33</v>
      </c>
      <c r="C174" s="4">
        <v>87</v>
      </c>
      <c r="D174" s="4">
        <v>86</v>
      </c>
      <c r="E174" s="4">
        <v>88</v>
      </c>
      <c r="F174" s="5"/>
      <c r="G174" s="6">
        <f t="shared" si="42"/>
        <v>261</v>
      </c>
      <c r="H174" s="4">
        <f t="shared" si="43"/>
        <v>87</v>
      </c>
      <c r="I174" s="4">
        <f t="shared" si="44"/>
        <v>21.75</v>
      </c>
      <c r="J174" s="5"/>
      <c r="K174" s="4">
        <v>88</v>
      </c>
      <c r="L174" s="4">
        <f t="shared" si="45"/>
        <v>264</v>
      </c>
      <c r="M174" s="4">
        <f t="shared" si="46"/>
        <v>66</v>
      </c>
      <c r="N174" s="4">
        <f t="shared" si="47"/>
        <v>87.75</v>
      </c>
    </row>
    <row r="175" spans="1:15" x14ac:dyDescent="0.3">
      <c r="A175" s="2">
        <v>5</v>
      </c>
      <c r="B175" s="8" t="s">
        <v>40</v>
      </c>
      <c r="C175" s="4">
        <v>71</v>
      </c>
      <c r="D175" s="4">
        <v>70</v>
      </c>
      <c r="E175" s="4">
        <v>75</v>
      </c>
      <c r="F175" s="5"/>
      <c r="G175" s="6">
        <f t="shared" si="42"/>
        <v>216</v>
      </c>
      <c r="H175" s="4">
        <f t="shared" si="43"/>
        <v>72</v>
      </c>
      <c r="I175" s="4">
        <f t="shared" si="44"/>
        <v>18</v>
      </c>
      <c r="J175" s="5"/>
      <c r="K175" s="4">
        <v>72</v>
      </c>
      <c r="L175" s="4">
        <f t="shared" si="45"/>
        <v>216</v>
      </c>
      <c r="M175" s="4">
        <f t="shared" si="46"/>
        <v>54</v>
      </c>
      <c r="N175" s="4">
        <f t="shared" si="47"/>
        <v>72</v>
      </c>
    </row>
    <row r="176" spans="1:15" x14ac:dyDescent="0.3">
      <c r="A176" s="2">
        <v>6</v>
      </c>
      <c r="B176" s="8" t="s">
        <v>43</v>
      </c>
      <c r="C176" s="4">
        <v>81</v>
      </c>
      <c r="D176" s="4">
        <v>88</v>
      </c>
      <c r="E176" s="4">
        <v>86</v>
      </c>
      <c r="F176" s="5"/>
      <c r="G176" s="6">
        <f t="shared" si="42"/>
        <v>255</v>
      </c>
      <c r="H176" s="4">
        <f t="shared" si="43"/>
        <v>85</v>
      </c>
      <c r="I176" s="4">
        <f t="shared" si="44"/>
        <v>21.25</v>
      </c>
      <c r="J176" s="5"/>
      <c r="K176" s="4">
        <v>85</v>
      </c>
      <c r="L176" s="4">
        <f t="shared" si="45"/>
        <v>255</v>
      </c>
      <c r="M176" s="4">
        <f t="shared" si="46"/>
        <v>63.75</v>
      </c>
      <c r="N176" s="4">
        <f t="shared" si="47"/>
        <v>85</v>
      </c>
    </row>
    <row r="177" spans="1:15" x14ac:dyDescent="0.3">
      <c r="A177" s="2">
        <v>7</v>
      </c>
      <c r="B177" s="8" t="s">
        <v>29</v>
      </c>
      <c r="C177" s="4">
        <v>93</v>
      </c>
      <c r="D177" s="4">
        <v>93</v>
      </c>
      <c r="E177" s="4">
        <v>95</v>
      </c>
      <c r="F177" s="5"/>
      <c r="G177" s="6">
        <f t="shared" si="42"/>
        <v>281</v>
      </c>
      <c r="H177" s="4">
        <f t="shared" si="43"/>
        <v>93.666666666666671</v>
      </c>
      <c r="I177" s="4">
        <f t="shared" si="44"/>
        <v>23.416666666666668</v>
      </c>
      <c r="J177" s="5"/>
      <c r="K177" s="4">
        <v>96</v>
      </c>
      <c r="L177" s="4">
        <f t="shared" si="45"/>
        <v>288</v>
      </c>
      <c r="M177" s="4">
        <f t="shared" si="46"/>
        <v>72</v>
      </c>
      <c r="N177" s="4">
        <f t="shared" si="47"/>
        <v>95.416666666666671</v>
      </c>
    </row>
    <row r="178" spans="1:15" x14ac:dyDescent="0.3">
      <c r="A178" s="2">
        <v>8</v>
      </c>
      <c r="B178" s="8" t="s">
        <v>37</v>
      </c>
      <c r="C178" s="4">
        <v>77</v>
      </c>
      <c r="D178" s="4">
        <v>74</v>
      </c>
      <c r="E178" s="4">
        <v>69</v>
      </c>
      <c r="F178" s="5"/>
      <c r="G178" s="6">
        <f t="shared" si="42"/>
        <v>220</v>
      </c>
      <c r="H178" s="4">
        <f t="shared" si="43"/>
        <v>73.333333333333329</v>
      </c>
      <c r="I178" s="4">
        <f t="shared" si="44"/>
        <v>18.333333333333332</v>
      </c>
      <c r="J178" s="5"/>
      <c r="K178" s="4">
        <v>72</v>
      </c>
      <c r="L178" s="4">
        <f t="shared" si="45"/>
        <v>216</v>
      </c>
      <c r="M178" s="4">
        <f t="shared" si="46"/>
        <v>54</v>
      </c>
      <c r="N178" s="4">
        <f t="shared" si="47"/>
        <v>72.333333333333329</v>
      </c>
    </row>
    <row r="179" spans="1:15" x14ac:dyDescent="0.3">
      <c r="A179" s="2">
        <v>9</v>
      </c>
      <c r="B179" s="8" t="s">
        <v>42</v>
      </c>
      <c r="C179" s="4">
        <v>69</v>
      </c>
      <c r="D179" s="4">
        <v>62</v>
      </c>
      <c r="E179" s="4">
        <v>75</v>
      </c>
      <c r="F179" s="5"/>
      <c r="G179" s="6">
        <f t="shared" si="42"/>
        <v>206</v>
      </c>
      <c r="H179" s="4">
        <f t="shared" si="43"/>
        <v>68.666666666666671</v>
      </c>
      <c r="I179" s="4">
        <f t="shared" si="44"/>
        <v>17.166666666666668</v>
      </c>
      <c r="J179" s="5"/>
      <c r="K179" s="4">
        <v>70</v>
      </c>
      <c r="L179" s="4">
        <f t="shared" si="45"/>
        <v>210</v>
      </c>
      <c r="M179" s="4">
        <f t="shared" si="46"/>
        <v>52.5</v>
      </c>
      <c r="N179" s="4">
        <f t="shared" si="47"/>
        <v>69.666666666666671</v>
      </c>
    </row>
    <row r="180" spans="1:15" x14ac:dyDescent="0.3">
      <c r="A180" s="2">
        <v>10</v>
      </c>
      <c r="B180" s="8" t="s">
        <v>38</v>
      </c>
      <c r="C180" s="4">
        <v>72</v>
      </c>
      <c r="D180" s="4">
        <v>69</v>
      </c>
      <c r="E180" s="4">
        <v>55</v>
      </c>
      <c r="F180" s="5"/>
      <c r="G180" s="6">
        <f t="shared" si="42"/>
        <v>196</v>
      </c>
      <c r="H180" s="4">
        <f t="shared" si="43"/>
        <v>65.333333333333329</v>
      </c>
      <c r="I180" s="4">
        <f t="shared" si="44"/>
        <v>16.333333333333332</v>
      </c>
      <c r="J180" s="5"/>
      <c r="K180" s="4">
        <v>62</v>
      </c>
      <c r="L180" s="4">
        <f t="shared" si="45"/>
        <v>186</v>
      </c>
      <c r="M180" s="4">
        <f t="shared" si="46"/>
        <v>46.5</v>
      </c>
      <c r="N180" s="4">
        <f t="shared" si="47"/>
        <v>62.833333333333329</v>
      </c>
    </row>
    <row r="181" spans="1:15" x14ac:dyDescent="0.3">
      <c r="A181" s="2">
        <v>11</v>
      </c>
      <c r="B181" s="8" t="s">
        <v>31</v>
      </c>
      <c r="C181" s="4">
        <v>93</v>
      </c>
      <c r="D181" s="4">
        <v>94</v>
      </c>
      <c r="E181" s="4">
        <v>96</v>
      </c>
      <c r="F181" s="5"/>
      <c r="G181" s="6">
        <f t="shared" si="42"/>
        <v>283</v>
      </c>
      <c r="H181" s="4">
        <f t="shared" si="43"/>
        <v>94.333333333333329</v>
      </c>
      <c r="I181" s="4">
        <f t="shared" si="44"/>
        <v>23.583333333333332</v>
      </c>
      <c r="J181" s="5"/>
      <c r="K181" s="4">
        <v>95</v>
      </c>
      <c r="L181" s="4">
        <f t="shared" si="45"/>
        <v>285</v>
      </c>
      <c r="M181" s="4">
        <f t="shared" si="46"/>
        <v>71.25</v>
      </c>
      <c r="N181" s="4">
        <f t="shared" si="47"/>
        <v>94.833333333333329</v>
      </c>
    </row>
    <row r="182" spans="1:15" x14ac:dyDescent="0.3">
      <c r="A182" s="2">
        <v>12</v>
      </c>
      <c r="B182" s="8" t="s">
        <v>30</v>
      </c>
      <c r="C182" s="4">
        <v>95</v>
      </c>
      <c r="D182" s="4">
        <v>95</v>
      </c>
      <c r="E182" s="4">
        <v>94</v>
      </c>
      <c r="F182" s="5"/>
      <c r="G182" s="6">
        <f t="shared" si="42"/>
        <v>284</v>
      </c>
      <c r="H182" s="4">
        <f t="shared" si="43"/>
        <v>94.666666666666671</v>
      </c>
      <c r="I182" s="4">
        <f t="shared" si="44"/>
        <v>23.666666666666668</v>
      </c>
      <c r="J182" s="5"/>
      <c r="K182" s="4">
        <v>94</v>
      </c>
      <c r="L182" s="4">
        <f t="shared" si="45"/>
        <v>282</v>
      </c>
      <c r="M182" s="4">
        <f t="shared" si="46"/>
        <v>70.5</v>
      </c>
      <c r="N182" s="4">
        <f t="shared" si="47"/>
        <v>94.166666666666671</v>
      </c>
    </row>
    <row r="183" spans="1:15" x14ac:dyDescent="0.3">
      <c r="A183" s="2">
        <v>13</v>
      </c>
      <c r="B183" s="8" t="s">
        <v>32</v>
      </c>
      <c r="C183" s="4">
        <v>77</v>
      </c>
      <c r="D183" s="4">
        <v>70</v>
      </c>
      <c r="E183" s="4">
        <v>77</v>
      </c>
      <c r="F183" s="5"/>
      <c r="G183" s="6">
        <f t="shared" si="42"/>
        <v>224</v>
      </c>
      <c r="H183" s="4">
        <f t="shared" si="43"/>
        <v>74.666666666666671</v>
      </c>
      <c r="I183" s="4">
        <f t="shared" si="44"/>
        <v>18.666666666666668</v>
      </c>
      <c r="J183" s="5"/>
      <c r="K183" s="4">
        <v>77</v>
      </c>
      <c r="L183" s="4">
        <f t="shared" si="45"/>
        <v>231</v>
      </c>
      <c r="M183" s="4">
        <f t="shared" si="46"/>
        <v>57.75</v>
      </c>
      <c r="N183" s="4">
        <f t="shared" si="47"/>
        <v>76.416666666666671</v>
      </c>
    </row>
    <row r="184" spans="1:15" x14ac:dyDescent="0.3">
      <c r="A184" s="2">
        <v>14</v>
      </c>
      <c r="B184" s="1" t="s">
        <v>36</v>
      </c>
      <c r="C184" s="4">
        <v>80</v>
      </c>
      <c r="D184" s="4">
        <v>65</v>
      </c>
      <c r="E184" s="4">
        <v>69</v>
      </c>
      <c r="F184" s="5"/>
      <c r="G184" s="6">
        <f t="shared" si="42"/>
        <v>214</v>
      </c>
      <c r="H184" s="4">
        <f t="shared" si="43"/>
        <v>71.333333333333329</v>
      </c>
      <c r="I184" s="4">
        <f t="shared" si="44"/>
        <v>17.833333333333332</v>
      </c>
      <c r="J184" s="5"/>
      <c r="K184" s="4">
        <v>71</v>
      </c>
      <c r="L184" s="4">
        <f t="shared" si="45"/>
        <v>213</v>
      </c>
      <c r="M184" s="4">
        <f t="shared" si="46"/>
        <v>53.25</v>
      </c>
      <c r="N184" s="4">
        <f t="shared" si="47"/>
        <v>71.083333333333329</v>
      </c>
    </row>
    <row r="185" spans="1:15" x14ac:dyDescent="0.3">
      <c r="A185" s="2">
        <v>15</v>
      </c>
      <c r="B185" s="1" t="s">
        <v>28</v>
      </c>
      <c r="C185" s="4">
        <v>99</v>
      </c>
      <c r="D185" s="4">
        <v>97</v>
      </c>
      <c r="E185" s="4">
        <v>100</v>
      </c>
      <c r="F185" s="5"/>
      <c r="G185" s="6">
        <f t="shared" si="42"/>
        <v>296</v>
      </c>
      <c r="H185" s="4">
        <f t="shared" si="43"/>
        <v>98.666666666666671</v>
      </c>
      <c r="I185" s="4">
        <f t="shared" si="44"/>
        <v>24.666666666666668</v>
      </c>
      <c r="J185" s="5"/>
      <c r="K185" s="4">
        <v>100</v>
      </c>
      <c r="L185" s="4">
        <f t="shared" si="45"/>
        <v>300</v>
      </c>
      <c r="M185" s="4">
        <f t="shared" si="46"/>
        <v>75</v>
      </c>
      <c r="N185" s="4">
        <f t="shared" si="47"/>
        <v>99.666666666666671</v>
      </c>
    </row>
    <row r="186" spans="1:15" x14ac:dyDescent="0.3">
      <c r="A186" s="2">
        <v>16</v>
      </c>
      <c r="B186" s="8" t="s">
        <v>41</v>
      </c>
      <c r="C186" s="4">
        <v>77</v>
      </c>
      <c r="D186" s="4">
        <v>70</v>
      </c>
      <c r="E186" s="4">
        <v>71</v>
      </c>
      <c r="F186" s="5"/>
      <c r="G186" s="6">
        <f t="shared" si="42"/>
        <v>218</v>
      </c>
      <c r="H186" s="4">
        <f t="shared" si="43"/>
        <v>72.666666666666671</v>
      </c>
      <c r="I186" s="4">
        <f t="shared" si="44"/>
        <v>18.166666666666668</v>
      </c>
      <c r="J186" s="5"/>
      <c r="K186" s="4">
        <v>72</v>
      </c>
      <c r="L186" s="4">
        <f t="shared" si="45"/>
        <v>216</v>
      </c>
      <c r="M186" s="4">
        <f t="shared" si="46"/>
        <v>54</v>
      </c>
      <c r="N186" s="4">
        <f t="shared" si="47"/>
        <v>72.166666666666671</v>
      </c>
    </row>
    <row r="189" spans="1:15" x14ac:dyDescent="0.3">
      <c r="A189" s="63" t="s">
        <v>0</v>
      </c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1:15" x14ac:dyDescent="0.3">
      <c r="A190" s="63" t="s">
        <v>1</v>
      </c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1:15" x14ac:dyDescent="0.3">
      <c r="A191" s="63" t="s">
        <v>27</v>
      </c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1:15" x14ac:dyDescent="0.3">
      <c r="B192" s="64" t="s">
        <v>26</v>
      </c>
      <c r="C192" s="64"/>
      <c r="D192" s="64"/>
    </row>
    <row r="193" spans="1:14" x14ac:dyDescent="0.3">
      <c r="C193" s="1" t="s">
        <v>4</v>
      </c>
      <c r="D193" s="1" t="s">
        <v>5</v>
      </c>
      <c r="E193" s="1" t="s">
        <v>6</v>
      </c>
      <c r="F193" s="1"/>
      <c r="G193" s="1" t="s">
        <v>7</v>
      </c>
      <c r="H193" s="1" t="s">
        <v>8</v>
      </c>
      <c r="I193" s="3">
        <v>0.25</v>
      </c>
      <c r="J193" s="1"/>
      <c r="K193" s="1" t="s">
        <v>9</v>
      </c>
      <c r="L193" s="1"/>
      <c r="M193" s="3">
        <v>0.75</v>
      </c>
      <c r="N193" s="1" t="s">
        <v>10</v>
      </c>
    </row>
    <row r="194" spans="1:14" x14ac:dyDescent="0.3">
      <c r="A194" s="2">
        <v>1</v>
      </c>
      <c r="B194" s="8" t="s">
        <v>34</v>
      </c>
      <c r="C194" s="4">
        <v>62</v>
      </c>
      <c r="D194" s="4">
        <v>71</v>
      </c>
      <c r="E194" s="4">
        <v>69</v>
      </c>
      <c r="F194" s="5"/>
      <c r="G194" s="6">
        <f>SUM(C194:E194)</f>
        <v>202</v>
      </c>
      <c r="H194" s="4">
        <f>AVERAGE(C194:E194)</f>
        <v>67.333333333333329</v>
      </c>
      <c r="I194" s="4">
        <f>G194/12</f>
        <v>16.833333333333332</v>
      </c>
      <c r="J194" s="5"/>
      <c r="K194" s="4">
        <v>70</v>
      </c>
      <c r="L194" s="4">
        <f>K194*3</f>
        <v>210</v>
      </c>
      <c r="M194" s="4">
        <f>L194/4</f>
        <v>52.5</v>
      </c>
      <c r="N194" s="4">
        <f>M194+I194</f>
        <v>69.333333333333329</v>
      </c>
    </row>
    <row r="195" spans="1:14" x14ac:dyDescent="0.3">
      <c r="A195" s="2">
        <v>2</v>
      </c>
      <c r="B195" s="8" t="s">
        <v>39</v>
      </c>
      <c r="C195" s="4">
        <v>58</v>
      </c>
      <c r="D195" s="4">
        <v>58</v>
      </c>
      <c r="E195" s="4">
        <v>55</v>
      </c>
      <c r="F195" s="5"/>
      <c r="G195" s="6">
        <f t="shared" ref="G195:G209" si="48">SUM(C195:E195)</f>
        <v>171</v>
      </c>
      <c r="H195" s="4">
        <f t="shared" ref="H195:H209" si="49">AVERAGE(C195:E195)</f>
        <v>57</v>
      </c>
      <c r="I195" s="4">
        <f t="shared" ref="I195:I209" si="50">G195/12</f>
        <v>14.25</v>
      </c>
      <c r="J195" s="5"/>
      <c r="K195" s="4">
        <v>55</v>
      </c>
      <c r="L195" s="4">
        <f t="shared" ref="L195:L209" si="51">K195*3</f>
        <v>165</v>
      </c>
      <c r="M195" s="4">
        <f t="shared" ref="M195:M209" si="52">L195/4</f>
        <v>41.25</v>
      </c>
      <c r="N195" s="4">
        <f t="shared" ref="N195:N209" si="53">M195+I195</f>
        <v>55.5</v>
      </c>
    </row>
    <row r="196" spans="1:14" x14ac:dyDescent="0.3">
      <c r="A196" s="2">
        <v>3</v>
      </c>
      <c r="B196" s="8" t="s">
        <v>35</v>
      </c>
      <c r="C196" s="4">
        <v>55</v>
      </c>
      <c r="D196" s="4">
        <v>41</v>
      </c>
      <c r="E196" s="4">
        <v>47</v>
      </c>
      <c r="F196" s="5"/>
      <c r="G196" s="6">
        <f t="shared" si="48"/>
        <v>143</v>
      </c>
      <c r="H196" s="4">
        <f t="shared" si="49"/>
        <v>47.666666666666664</v>
      </c>
      <c r="I196" s="4">
        <f t="shared" si="50"/>
        <v>11.916666666666666</v>
      </c>
      <c r="J196" s="5"/>
      <c r="K196" s="4">
        <v>48</v>
      </c>
      <c r="L196" s="4">
        <f t="shared" si="51"/>
        <v>144</v>
      </c>
      <c r="M196" s="4">
        <f t="shared" si="52"/>
        <v>36</v>
      </c>
      <c r="N196" s="4">
        <f t="shared" si="53"/>
        <v>47.916666666666664</v>
      </c>
    </row>
    <row r="197" spans="1:14" x14ac:dyDescent="0.3">
      <c r="A197" s="2">
        <v>4</v>
      </c>
      <c r="B197" s="8" t="s">
        <v>33</v>
      </c>
      <c r="C197" s="4">
        <v>80</v>
      </c>
      <c r="D197" s="4">
        <v>75</v>
      </c>
      <c r="E197" s="4">
        <v>72</v>
      </c>
      <c r="F197" s="5"/>
      <c r="G197" s="6">
        <f t="shared" si="48"/>
        <v>227</v>
      </c>
      <c r="H197" s="4">
        <f t="shared" si="49"/>
        <v>75.666666666666671</v>
      </c>
      <c r="I197" s="4">
        <f t="shared" si="50"/>
        <v>18.916666666666668</v>
      </c>
      <c r="J197" s="5"/>
      <c r="K197" s="4">
        <v>77</v>
      </c>
      <c r="L197" s="4">
        <f t="shared" si="51"/>
        <v>231</v>
      </c>
      <c r="M197" s="4">
        <f t="shared" si="52"/>
        <v>57.75</v>
      </c>
      <c r="N197" s="4">
        <f t="shared" si="53"/>
        <v>76.666666666666671</v>
      </c>
    </row>
    <row r="198" spans="1:14" x14ac:dyDescent="0.3">
      <c r="A198" s="2">
        <v>5</v>
      </c>
      <c r="B198" s="8" t="s">
        <v>40</v>
      </c>
      <c r="C198" s="4">
        <v>55</v>
      </c>
      <c r="D198" s="4">
        <v>69</v>
      </c>
      <c r="E198" s="4">
        <v>65</v>
      </c>
      <c r="F198" s="5"/>
      <c r="G198" s="6">
        <f t="shared" si="48"/>
        <v>189</v>
      </c>
      <c r="H198" s="4">
        <f t="shared" si="49"/>
        <v>63</v>
      </c>
      <c r="I198" s="4">
        <f t="shared" si="50"/>
        <v>15.75</v>
      </c>
      <c r="J198" s="5"/>
      <c r="K198" s="4">
        <v>62</v>
      </c>
      <c r="L198" s="4">
        <f t="shared" si="51"/>
        <v>186</v>
      </c>
      <c r="M198" s="4">
        <f t="shared" si="52"/>
        <v>46.5</v>
      </c>
      <c r="N198" s="4">
        <f t="shared" si="53"/>
        <v>62.25</v>
      </c>
    </row>
    <row r="199" spans="1:14" x14ac:dyDescent="0.3">
      <c r="A199" s="2">
        <v>6</v>
      </c>
      <c r="B199" s="8" t="s">
        <v>43</v>
      </c>
      <c r="C199" s="4">
        <v>47</v>
      </c>
      <c r="D199" s="4">
        <v>54</v>
      </c>
      <c r="E199" s="4">
        <v>69</v>
      </c>
      <c r="F199" s="5"/>
      <c r="G199" s="6">
        <f t="shared" si="48"/>
        <v>170</v>
      </c>
      <c r="H199" s="4">
        <f t="shared" si="49"/>
        <v>56.666666666666664</v>
      </c>
      <c r="I199" s="4">
        <f t="shared" si="50"/>
        <v>14.166666666666666</v>
      </c>
      <c r="J199" s="5"/>
      <c r="K199" s="4">
        <v>60</v>
      </c>
      <c r="L199" s="4">
        <f t="shared" si="51"/>
        <v>180</v>
      </c>
      <c r="M199" s="4">
        <f t="shared" si="52"/>
        <v>45</v>
      </c>
      <c r="N199" s="4">
        <f t="shared" si="53"/>
        <v>59.166666666666664</v>
      </c>
    </row>
    <row r="200" spans="1:14" x14ac:dyDescent="0.3">
      <c r="A200" s="2">
        <v>7</v>
      </c>
      <c r="B200" s="8" t="s">
        <v>29</v>
      </c>
      <c r="C200" s="4">
        <v>84</v>
      </c>
      <c r="D200" s="4">
        <v>89</v>
      </c>
      <c r="E200" s="4">
        <v>88</v>
      </c>
      <c r="F200" s="5"/>
      <c r="G200" s="6">
        <f t="shared" si="48"/>
        <v>261</v>
      </c>
      <c r="H200" s="4">
        <f t="shared" si="49"/>
        <v>87</v>
      </c>
      <c r="I200" s="4">
        <f t="shared" si="50"/>
        <v>21.75</v>
      </c>
      <c r="J200" s="5"/>
      <c r="K200" s="4">
        <v>88</v>
      </c>
      <c r="L200" s="4">
        <f t="shared" si="51"/>
        <v>264</v>
      </c>
      <c r="M200" s="4">
        <f t="shared" si="52"/>
        <v>66</v>
      </c>
      <c r="N200" s="4">
        <f t="shared" si="53"/>
        <v>87.75</v>
      </c>
    </row>
    <row r="201" spans="1:14" x14ac:dyDescent="0.3">
      <c r="A201" s="2">
        <v>8</v>
      </c>
      <c r="B201" s="8" t="s">
        <v>37</v>
      </c>
      <c r="C201" s="4">
        <v>65</v>
      </c>
      <c r="D201" s="4">
        <v>69</v>
      </c>
      <c r="E201" s="4">
        <v>65</v>
      </c>
      <c r="F201" s="5"/>
      <c r="G201" s="6">
        <f t="shared" si="48"/>
        <v>199</v>
      </c>
      <c r="H201" s="4">
        <f t="shared" si="49"/>
        <v>66.333333333333329</v>
      </c>
      <c r="I201" s="4">
        <f t="shared" si="50"/>
        <v>16.583333333333332</v>
      </c>
      <c r="J201" s="5"/>
      <c r="K201" s="4">
        <v>71</v>
      </c>
      <c r="L201" s="4">
        <f t="shared" si="51"/>
        <v>213</v>
      </c>
      <c r="M201" s="4">
        <f t="shared" si="52"/>
        <v>53.25</v>
      </c>
      <c r="N201" s="4">
        <f t="shared" si="53"/>
        <v>69.833333333333329</v>
      </c>
    </row>
    <row r="202" spans="1:14" x14ac:dyDescent="0.3">
      <c r="A202" s="2">
        <v>9</v>
      </c>
      <c r="B202" s="8" t="s">
        <v>42</v>
      </c>
      <c r="C202" s="4">
        <v>53</v>
      </c>
      <c r="D202" s="4">
        <v>54</v>
      </c>
      <c r="E202" s="4">
        <v>58</v>
      </c>
      <c r="F202" s="5"/>
      <c r="G202" s="6">
        <f t="shared" si="48"/>
        <v>165</v>
      </c>
      <c r="H202" s="4">
        <f t="shared" si="49"/>
        <v>55</v>
      </c>
      <c r="I202" s="4">
        <f t="shared" si="50"/>
        <v>13.75</v>
      </c>
      <c r="J202" s="5"/>
      <c r="K202" s="4">
        <v>55</v>
      </c>
      <c r="L202" s="4">
        <f t="shared" si="51"/>
        <v>165</v>
      </c>
      <c r="M202" s="4">
        <f t="shared" si="52"/>
        <v>41.25</v>
      </c>
      <c r="N202" s="4">
        <f t="shared" si="53"/>
        <v>55</v>
      </c>
    </row>
    <row r="203" spans="1:14" x14ac:dyDescent="0.3">
      <c r="A203" s="2">
        <v>10</v>
      </c>
      <c r="B203" s="8" t="s">
        <v>38</v>
      </c>
      <c r="C203" s="4">
        <v>45</v>
      </c>
      <c r="D203" s="4">
        <v>44</v>
      </c>
      <c r="E203" s="4">
        <v>47</v>
      </c>
      <c r="F203" s="5"/>
      <c r="G203" s="6">
        <f t="shared" si="48"/>
        <v>136</v>
      </c>
      <c r="H203" s="4">
        <f t="shared" si="49"/>
        <v>45.333333333333336</v>
      </c>
      <c r="I203" s="4">
        <f t="shared" si="50"/>
        <v>11.333333333333334</v>
      </c>
      <c r="J203" s="5"/>
      <c r="K203" s="4">
        <v>48</v>
      </c>
      <c r="L203" s="4">
        <f t="shared" si="51"/>
        <v>144</v>
      </c>
      <c r="M203" s="4">
        <f t="shared" si="52"/>
        <v>36</v>
      </c>
      <c r="N203" s="4">
        <f t="shared" si="53"/>
        <v>47.333333333333336</v>
      </c>
    </row>
    <row r="204" spans="1:14" x14ac:dyDescent="0.3">
      <c r="A204" s="2">
        <v>11</v>
      </c>
      <c r="B204" s="8" t="s">
        <v>31</v>
      </c>
      <c r="C204" s="4">
        <v>85</v>
      </c>
      <c r="D204" s="4">
        <v>85</v>
      </c>
      <c r="E204" s="4">
        <v>85</v>
      </c>
      <c r="F204" s="5"/>
      <c r="G204" s="6">
        <f t="shared" si="48"/>
        <v>255</v>
      </c>
      <c r="H204" s="4">
        <f t="shared" si="49"/>
        <v>85</v>
      </c>
      <c r="I204" s="4">
        <f t="shared" si="50"/>
        <v>21.25</v>
      </c>
      <c r="J204" s="5"/>
      <c r="K204" s="4">
        <v>87</v>
      </c>
      <c r="L204" s="4">
        <f t="shared" si="51"/>
        <v>261</v>
      </c>
      <c r="M204" s="4">
        <f t="shared" si="52"/>
        <v>65.25</v>
      </c>
      <c r="N204" s="4">
        <f t="shared" si="53"/>
        <v>86.5</v>
      </c>
    </row>
    <row r="205" spans="1:14" x14ac:dyDescent="0.3">
      <c r="A205" s="2">
        <v>12</v>
      </c>
      <c r="B205" s="8" t="s">
        <v>30</v>
      </c>
      <c r="C205" s="4">
        <v>84</v>
      </c>
      <c r="D205" s="4">
        <v>83</v>
      </c>
      <c r="E205" s="4">
        <v>82</v>
      </c>
      <c r="F205" s="5"/>
      <c r="G205" s="6">
        <f t="shared" si="48"/>
        <v>249</v>
      </c>
      <c r="H205" s="4">
        <f t="shared" si="49"/>
        <v>83</v>
      </c>
      <c r="I205" s="4">
        <f t="shared" si="50"/>
        <v>20.75</v>
      </c>
      <c r="J205" s="5"/>
      <c r="K205" s="4">
        <v>84</v>
      </c>
      <c r="L205" s="4">
        <f t="shared" si="51"/>
        <v>252</v>
      </c>
      <c r="M205" s="4">
        <f t="shared" si="52"/>
        <v>63</v>
      </c>
      <c r="N205" s="4">
        <f t="shared" si="53"/>
        <v>83.75</v>
      </c>
    </row>
    <row r="206" spans="1:14" x14ac:dyDescent="0.3">
      <c r="A206" s="2">
        <v>13</v>
      </c>
      <c r="B206" s="8" t="s">
        <v>32</v>
      </c>
      <c r="C206" s="4">
        <v>65</v>
      </c>
      <c r="D206" s="4">
        <v>54</v>
      </c>
      <c r="E206" s="4">
        <v>65</v>
      </c>
      <c r="F206" s="5"/>
      <c r="G206" s="6">
        <f t="shared" si="48"/>
        <v>184</v>
      </c>
      <c r="H206" s="4">
        <f t="shared" si="49"/>
        <v>61.333333333333336</v>
      </c>
      <c r="I206" s="4">
        <f t="shared" si="50"/>
        <v>15.333333333333334</v>
      </c>
      <c r="J206" s="5"/>
      <c r="K206" s="4">
        <v>62</v>
      </c>
      <c r="L206" s="4">
        <f t="shared" si="51"/>
        <v>186</v>
      </c>
      <c r="M206" s="4">
        <f t="shared" si="52"/>
        <v>46.5</v>
      </c>
      <c r="N206" s="4">
        <f t="shared" si="53"/>
        <v>61.833333333333336</v>
      </c>
    </row>
    <row r="207" spans="1:14" x14ac:dyDescent="0.3">
      <c r="A207" s="2">
        <v>14</v>
      </c>
      <c r="B207" s="1" t="s">
        <v>36</v>
      </c>
      <c r="C207" s="4">
        <v>55</v>
      </c>
      <c r="D207" s="4">
        <v>62</v>
      </c>
      <c r="E207" s="4">
        <v>69</v>
      </c>
      <c r="F207" s="5"/>
      <c r="G207" s="6">
        <f t="shared" si="48"/>
        <v>186</v>
      </c>
      <c r="H207" s="4">
        <f t="shared" si="49"/>
        <v>62</v>
      </c>
      <c r="I207" s="4">
        <f t="shared" si="50"/>
        <v>15.5</v>
      </c>
      <c r="J207" s="5"/>
      <c r="K207" s="4">
        <v>62</v>
      </c>
      <c r="L207" s="4">
        <f t="shared" si="51"/>
        <v>186</v>
      </c>
      <c r="M207" s="4">
        <f t="shared" si="52"/>
        <v>46.5</v>
      </c>
      <c r="N207" s="4">
        <f t="shared" si="53"/>
        <v>62</v>
      </c>
    </row>
    <row r="208" spans="1:14" x14ac:dyDescent="0.3">
      <c r="A208" s="2">
        <v>15</v>
      </c>
      <c r="B208" s="1" t="s">
        <v>28</v>
      </c>
      <c r="C208" s="4">
        <v>93</v>
      </c>
      <c r="D208" s="4">
        <v>91</v>
      </c>
      <c r="E208" s="4">
        <v>91</v>
      </c>
      <c r="F208" s="5"/>
      <c r="G208" s="6">
        <f t="shared" si="48"/>
        <v>275</v>
      </c>
      <c r="H208" s="4">
        <f t="shared" si="49"/>
        <v>91.666666666666671</v>
      </c>
      <c r="I208" s="4">
        <f t="shared" si="50"/>
        <v>22.916666666666668</v>
      </c>
      <c r="J208" s="5"/>
      <c r="K208" s="4">
        <v>95</v>
      </c>
      <c r="L208" s="4">
        <f t="shared" si="51"/>
        <v>285</v>
      </c>
      <c r="M208" s="4">
        <f t="shared" si="52"/>
        <v>71.25</v>
      </c>
      <c r="N208" s="4">
        <f t="shared" si="53"/>
        <v>94.166666666666671</v>
      </c>
    </row>
    <row r="209" spans="1:14" x14ac:dyDescent="0.3">
      <c r="A209" s="2">
        <v>16</v>
      </c>
      <c r="B209" s="8" t="s">
        <v>41</v>
      </c>
      <c r="C209" s="4">
        <v>72</v>
      </c>
      <c r="D209" s="4">
        <v>72</v>
      </c>
      <c r="E209" s="4">
        <v>65</v>
      </c>
      <c r="F209" s="5"/>
      <c r="G209" s="6">
        <f t="shared" si="48"/>
        <v>209</v>
      </c>
      <c r="H209" s="4">
        <f t="shared" si="49"/>
        <v>69.666666666666671</v>
      </c>
      <c r="I209" s="4">
        <f t="shared" si="50"/>
        <v>17.416666666666668</v>
      </c>
      <c r="J209" s="5"/>
      <c r="K209" s="4">
        <v>72</v>
      </c>
      <c r="L209" s="4">
        <f t="shared" si="51"/>
        <v>216</v>
      </c>
      <c r="M209" s="4">
        <f t="shared" si="52"/>
        <v>54</v>
      </c>
      <c r="N209" s="4">
        <f t="shared" si="53"/>
        <v>71.416666666666671</v>
      </c>
    </row>
    <row r="210" spans="1:14" x14ac:dyDescent="0.3">
      <c r="F210" s="5"/>
    </row>
  </sheetData>
  <sortState ref="B7:B21">
    <sortCondition ref="B21"/>
  </sortState>
  <mergeCells count="36">
    <mergeCell ref="B192:D192"/>
    <mergeCell ref="A168:O168"/>
    <mergeCell ref="B169:D169"/>
    <mergeCell ref="A189:O189"/>
    <mergeCell ref="A190:O190"/>
    <mergeCell ref="A191:O191"/>
    <mergeCell ref="A143:O143"/>
    <mergeCell ref="A144:O144"/>
    <mergeCell ref="B145:D145"/>
    <mergeCell ref="A166:O166"/>
    <mergeCell ref="A167:O167"/>
    <mergeCell ref="A119:O119"/>
    <mergeCell ref="A120:O120"/>
    <mergeCell ref="A121:O121"/>
    <mergeCell ref="B122:D122"/>
    <mergeCell ref="A142:O142"/>
    <mergeCell ref="B75:D75"/>
    <mergeCell ref="A95:O95"/>
    <mergeCell ref="A96:O96"/>
    <mergeCell ref="A97:O97"/>
    <mergeCell ref="B98:D98"/>
    <mergeCell ref="A50:O50"/>
    <mergeCell ref="B51:D51"/>
    <mergeCell ref="A72:O72"/>
    <mergeCell ref="A73:O73"/>
    <mergeCell ref="A74:O74"/>
    <mergeCell ref="A26:O26"/>
    <mergeCell ref="A27:O27"/>
    <mergeCell ref="B28:D28"/>
    <mergeCell ref="A48:O48"/>
    <mergeCell ref="A49:O49"/>
    <mergeCell ref="A1:O1"/>
    <mergeCell ref="A2:O2"/>
    <mergeCell ref="A3:O3"/>
    <mergeCell ref="B4:D4"/>
    <mergeCell ref="A25:O25"/>
  </mergeCells>
  <printOptions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78"/>
  <sheetViews>
    <sheetView topLeftCell="A155" workbookViewId="0">
      <selection activeCell="K167" sqref="K167:K178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110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8" t="s">
        <v>112</v>
      </c>
      <c r="C6" s="4">
        <v>55</v>
      </c>
      <c r="D6" s="4">
        <v>40</v>
      </c>
      <c r="E6" s="4">
        <v>42</v>
      </c>
      <c r="F6" s="5"/>
      <c r="G6" s="6">
        <f>SUM(C6:E6)</f>
        <v>137</v>
      </c>
      <c r="H6" s="4">
        <f>AVERAGE(C6:E6)</f>
        <v>45.666666666666664</v>
      </c>
      <c r="I6" s="4">
        <f>G6/12</f>
        <v>11.416666666666666</v>
      </c>
      <c r="J6" s="5"/>
      <c r="K6" s="4">
        <v>45</v>
      </c>
      <c r="L6" s="4">
        <f>K6*3</f>
        <v>135</v>
      </c>
      <c r="M6" s="4">
        <f>L6/4</f>
        <v>33.75</v>
      </c>
      <c r="N6" s="4">
        <f>M6+I6</f>
        <v>45.166666666666664</v>
      </c>
    </row>
    <row r="7" spans="1:15" x14ac:dyDescent="0.3">
      <c r="A7" s="2">
        <v>2</v>
      </c>
      <c r="B7" s="8" t="s">
        <v>116</v>
      </c>
      <c r="C7" s="4">
        <v>41</v>
      </c>
      <c r="D7" s="4">
        <v>38</v>
      </c>
      <c r="E7" s="4">
        <v>39</v>
      </c>
      <c r="F7" s="5"/>
      <c r="G7" s="6">
        <f t="shared" ref="G7:G13" si="0">SUM(C7:E7)</f>
        <v>118</v>
      </c>
      <c r="H7" s="4">
        <f t="shared" ref="H7:H13" si="1">AVERAGE(C7:E7)</f>
        <v>39.333333333333336</v>
      </c>
      <c r="I7" s="4">
        <f t="shared" ref="I7:I13" si="2">G7/12</f>
        <v>9.8333333333333339</v>
      </c>
      <c r="J7" s="5"/>
      <c r="K7" s="4">
        <v>40</v>
      </c>
      <c r="L7" s="4">
        <f t="shared" ref="L7:L17" si="3">K7*3</f>
        <v>120</v>
      </c>
      <c r="M7" s="4">
        <f t="shared" ref="M7:M17" si="4">L7/4</f>
        <v>30</v>
      </c>
      <c r="N7" s="4">
        <f t="shared" ref="N7:N17" si="5">M7+I7</f>
        <v>39.833333333333336</v>
      </c>
    </row>
    <row r="8" spans="1:15" x14ac:dyDescent="0.3">
      <c r="A8" s="2">
        <v>3</v>
      </c>
      <c r="B8" s="8" t="s">
        <v>115</v>
      </c>
      <c r="C8" s="4">
        <v>28</v>
      </c>
      <c r="D8" s="4">
        <v>22</v>
      </c>
      <c r="E8" s="4">
        <v>29</v>
      </c>
      <c r="F8" s="5"/>
      <c r="G8" s="6">
        <f t="shared" si="0"/>
        <v>79</v>
      </c>
      <c r="H8" s="4">
        <f t="shared" si="1"/>
        <v>26.333333333333332</v>
      </c>
      <c r="I8" s="4">
        <f t="shared" si="2"/>
        <v>6.583333333333333</v>
      </c>
      <c r="J8" s="5"/>
      <c r="K8" s="4">
        <v>29</v>
      </c>
      <c r="L8" s="4">
        <f t="shared" si="3"/>
        <v>87</v>
      </c>
      <c r="M8" s="4">
        <f t="shared" si="4"/>
        <v>21.75</v>
      </c>
      <c r="N8" s="4">
        <f t="shared" si="5"/>
        <v>28.333333333333332</v>
      </c>
    </row>
    <row r="9" spans="1:15" x14ac:dyDescent="0.3">
      <c r="A9" s="2">
        <v>4</v>
      </c>
      <c r="B9" s="8" t="s">
        <v>121</v>
      </c>
      <c r="C9" s="4">
        <v>40</v>
      </c>
      <c r="D9" s="4">
        <v>39</v>
      </c>
      <c r="E9" s="4">
        <v>45</v>
      </c>
      <c r="F9" s="5"/>
      <c r="G9" s="6">
        <f t="shared" si="0"/>
        <v>124</v>
      </c>
      <c r="H9" s="4">
        <f t="shared" si="1"/>
        <v>41.333333333333336</v>
      </c>
      <c r="I9" s="4">
        <f t="shared" si="2"/>
        <v>10.333333333333334</v>
      </c>
      <c r="J9" s="5"/>
      <c r="K9" s="4">
        <v>42</v>
      </c>
      <c r="L9" s="4">
        <f t="shared" si="3"/>
        <v>126</v>
      </c>
      <c r="M9" s="4">
        <f t="shared" si="4"/>
        <v>31.5</v>
      </c>
      <c r="N9" s="4">
        <f t="shared" si="5"/>
        <v>41.833333333333336</v>
      </c>
    </row>
    <row r="10" spans="1:15" x14ac:dyDescent="0.3">
      <c r="A10" s="2">
        <v>5</v>
      </c>
      <c r="B10" s="8" t="s">
        <v>117</v>
      </c>
      <c r="C10" s="4">
        <v>33</v>
      </c>
      <c r="D10" s="4">
        <v>42</v>
      </c>
      <c r="E10" s="4">
        <v>40</v>
      </c>
      <c r="F10" s="5"/>
      <c r="G10" s="6">
        <f t="shared" si="0"/>
        <v>115</v>
      </c>
      <c r="H10" s="4">
        <f t="shared" si="1"/>
        <v>38.333333333333336</v>
      </c>
      <c r="I10" s="4">
        <f t="shared" si="2"/>
        <v>9.5833333333333339</v>
      </c>
      <c r="J10" s="5"/>
      <c r="K10" s="4">
        <v>42</v>
      </c>
      <c r="L10" s="4">
        <f t="shared" si="3"/>
        <v>126</v>
      </c>
      <c r="M10" s="4">
        <f t="shared" si="4"/>
        <v>31.5</v>
      </c>
      <c r="N10" s="4">
        <f t="shared" si="5"/>
        <v>41.083333333333336</v>
      </c>
    </row>
    <row r="11" spans="1:15" x14ac:dyDescent="0.3">
      <c r="A11" s="2">
        <v>6</v>
      </c>
      <c r="B11" s="8" t="s">
        <v>118</v>
      </c>
      <c r="C11" s="4">
        <v>52</v>
      </c>
      <c r="D11" s="4">
        <v>40</v>
      </c>
      <c r="E11" s="4">
        <v>38</v>
      </c>
      <c r="F11" s="5"/>
      <c r="G11" s="6">
        <f t="shared" si="0"/>
        <v>130</v>
      </c>
      <c r="H11" s="4">
        <f t="shared" si="1"/>
        <v>43.333333333333336</v>
      </c>
      <c r="I11" s="4">
        <f t="shared" si="2"/>
        <v>10.833333333333334</v>
      </c>
      <c r="J11" s="5"/>
      <c r="K11" s="4">
        <v>39</v>
      </c>
      <c r="L11" s="4">
        <f t="shared" si="3"/>
        <v>117</v>
      </c>
      <c r="M11" s="4">
        <f t="shared" si="4"/>
        <v>29.25</v>
      </c>
      <c r="N11" s="4">
        <f t="shared" si="5"/>
        <v>40.083333333333336</v>
      </c>
    </row>
    <row r="12" spans="1:15" x14ac:dyDescent="0.3">
      <c r="A12" s="2">
        <v>7</v>
      </c>
      <c r="B12" s="8" t="s">
        <v>113</v>
      </c>
      <c r="C12" s="4">
        <v>45</v>
      </c>
      <c r="D12" s="4">
        <v>39</v>
      </c>
      <c r="E12" s="4">
        <v>24</v>
      </c>
      <c r="F12" s="5"/>
      <c r="G12" s="6">
        <f t="shared" si="0"/>
        <v>108</v>
      </c>
      <c r="H12" s="4">
        <f t="shared" si="1"/>
        <v>36</v>
      </c>
      <c r="I12" s="4">
        <f t="shared" si="2"/>
        <v>9</v>
      </c>
      <c r="J12" s="5"/>
      <c r="K12" s="4">
        <v>33</v>
      </c>
      <c r="L12" s="4">
        <f t="shared" si="3"/>
        <v>99</v>
      </c>
      <c r="M12" s="4">
        <f t="shared" si="4"/>
        <v>24.75</v>
      </c>
      <c r="N12" s="4">
        <f t="shared" si="5"/>
        <v>33.75</v>
      </c>
    </row>
    <row r="13" spans="1:15" x14ac:dyDescent="0.3">
      <c r="A13" s="2">
        <v>8</v>
      </c>
      <c r="B13" s="8" t="s">
        <v>111</v>
      </c>
      <c r="C13" s="4">
        <v>54</v>
      </c>
      <c r="D13" s="4">
        <v>42</v>
      </c>
      <c r="E13" s="4">
        <v>28</v>
      </c>
      <c r="F13" s="5"/>
      <c r="G13" s="6">
        <f t="shared" si="0"/>
        <v>124</v>
      </c>
      <c r="H13" s="4">
        <f t="shared" si="1"/>
        <v>41.333333333333336</v>
      </c>
      <c r="I13" s="4">
        <f t="shared" si="2"/>
        <v>10.333333333333334</v>
      </c>
      <c r="J13" s="5"/>
      <c r="K13" s="4">
        <v>45</v>
      </c>
      <c r="L13" s="4">
        <f t="shared" si="3"/>
        <v>135</v>
      </c>
      <c r="M13" s="4">
        <f t="shared" si="4"/>
        <v>33.75</v>
      </c>
      <c r="N13" s="4">
        <f t="shared" si="5"/>
        <v>44.083333333333336</v>
      </c>
    </row>
    <row r="14" spans="1:15" x14ac:dyDescent="0.3">
      <c r="A14" s="2">
        <v>9</v>
      </c>
      <c r="B14" s="8" t="s">
        <v>120</v>
      </c>
      <c r="C14" s="4">
        <v>25</v>
      </c>
      <c r="D14" s="4">
        <v>41</v>
      </c>
      <c r="E14" s="4">
        <v>41</v>
      </c>
      <c r="F14" s="5"/>
      <c r="G14" s="6">
        <f t="shared" ref="G14:G17" si="6">SUM(C14:E14)</f>
        <v>107</v>
      </c>
      <c r="H14" s="4">
        <f t="shared" ref="H14:H17" si="7">AVERAGE(C14:E14)</f>
        <v>35.666666666666664</v>
      </c>
      <c r="I14" s="4">
        <f t="shared" ref="I14:I17" si="8">G14/12</f>
        <v>8.9166666666666661</v>
      </c>
      <c r="J14" s="5"/>
      <c r="K14" s="4">
        <v>52</v>
      </c>
      <c r="L14" s="4">
        <f t="shared" si="3"/>
        <v>156</v>
      </c>
      <c r="M14" s="4">
        <f t="shared" si="4"/>
        <v>39</v>
      </c>
      <c r="N14" s="4">
        <f t="shared" si="5"/>
        <v>47.916666666666664</v>
      </c>
    </row>
    <row r="15" spans="1:15" x14ac:dyDescent="0.3">
      <c r="A15" s="2">
        <v>10</v>
      </c>
      <c r="B15" s="8" t="s">
        <v>114</v>
      </c>
      <c r="C15" s="4">
        <v>83</v>
      </c>
      <c r="D15" s="4">
        <v>80</v>
      </c>
      <c r="E15" s="4">
        <v>82</v>
      </c>
      <c r="F15" s="5"/>
      <c r="G15" s="6">
        <f t="shared" si="6"/>
        <v>245</v>
      </c>
      <c r="H15" s="4">
        <f t="shared" si="7"/>
        <v>81.666666666666671</v>
      </c>
      <c r="I15" s="4">
        <f t="shared" si="8"/>
        <v>20.416666666666668</v>
      </c>
      <c r="J15" s="5"/>
      <c r="K15" s="4">
        <v>84</v>
      </c>
      <c r="L15" s="4">
        <f t="shared" si="3"/>
        <v>252</v>
      </c>
      <c r="M15" s="4">
        <f t="shared" si="4"/>
        <v>63</v>
      </c>
      <c r="N15" s="4">
        <f t="shared" si="5"/>
        <v>83.416666666666671</v>
      </c>
    </row>
    <row r="16" spans="1:15" x14ac:dyDescent="0.3">
      <c r="A16" s="2">
        <v>11</v>
      </c>
      <c r="B16" s="8" t="s">
        <v>122</v>
      </c>
      <c r="C16" s="4">
        <v>55</v>
      </c>
      <c r="D16" s="4">
        <v>32</v>
      </c>
      <c r="E16" s="4">
        <v>39</v>
      </c>
      <c r="F16" s="5"/>
      <c r="G16" s="6">
        <f t="shared" si="6"/>
        <v>126</v>
      </c>
      <c r="H16" s="4">
        <f t="shared" si="7"/>
        <v>42</v>
      </c>
      <c r="I16" s="4">
        <f t="shared" si="8"/>
        <v>10.5</v>
      </c>
      <c r="J16" s="5"/>
      <c r="K16" s="4">
        <v>40</v>
      </c>
      <c r="L16" s="4">
        <f t="shared" si="3"/>
        <v>120</v>
      </c>
      <c r="M16" s="4">
        <f t="shared" si="4"/>
        <v>30</v>
      </c>
      <c r="N16" s="4">
        <f t="shared" si="5"/>
        <v>40.5</v>
      </c>
    </row>
    <row r="17" spans="1:15" x14ac:dyDescent="0.3">
      <c r="A17" s="2">
        <v>12</v>
      </c>
      <c r="B17" s="8" t="s">
        <v>119</v>
      </c>
      <c r="C17" s="4">
        <v>65</v>
      </c>
      <c r="D17" s="4">
        <v>62</v>
      </c>
      <c r="E17" s="4">
        <v>65</v>
      </c>
      <c r="F17" s="5"/>
      <c r="G17" s="6">
        <f t="shared" si="6"/>
        <v>192</v>
      </c>
      <c r="H17" s="4">
        <f t="shared" si="7"/>
        <v>64</v>
      </c>
      <c r="I17" s="4">
        <f t="shared" si="8"/>
        <v>16</v>
      </c>
      <c r="J17" s="5"/>
      <c r="K17" s="4">
        <v>60</v>
      </c>
      <c r="L17" s="4">
        <f t="shared" si="3"/>
        <v>180</v>
      </c>
      <c r="M17" s="4">
        <f t="shared" si="4"/>
        <v>45</v>
      </c>
      <c r="N17" s="4">
        <f t="shared" si="5"/>
        <v>61</v>
      </c>
    </row>
    <row r="22" spans="1:15" x14ac:dyDescent="0.3">
      <c r="A22" s="63" t="s">
        <v>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1:15" x14ac:dyDescent="0.3">
      <c r="A23" s="63" t="s">
        <v>110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5" x14ac:dyDescent="0.3">
      <c r="B24" s="64" t="s">
        <v>80</v>
      </c>
      <c r="C24" s="64"/>
      <c r="D24" s="64"/>
    </row>
    <row r="25" spans="1:15" x14ac:dyDescent="0.3">
      <c r="C25" s="1" t="s">
        <v>4</v>
      </c>
      <c r="D25" s="1" t="s">
        <v>5</v>
      </c>
      <c r="E25" s="1" t="s">
        <v>6</v>
      </c>
      <c r="F25" s="1"/>
      <c r="G25" s="1" t="s">
        <v>7</v>
      </c>
      <c r="H25" s="1" t="s">
        <v>8</v>
      </c>
      <c r="I25" s="3">
        <v>0.25</v>
      </c>
      <c r="J25" s="1"/>
      <c r="K25" s="1" t="s">
        <v>9</v>
      </c>
      <c r="L25" s="1"/>
      <c r="M25" s="3">
        <v>0.75</v>
      </c>
      <c r="N25" s="1" t="s">
        <v>10</v>
      </c>
    </row>
    <row r="26" spans="1:15" x14ac:dyDescent="0.3">
      <c r="A26" s="2">
        <v>1</v>
      </c>
      <c r="B26" s="8" t="s">
        <v>112</v>
      </c>
      <c r="C26" s="4">
        <v>71</v>
      </c>
      <c r="D26" s="4">
        <v>58</v>
      </c>
      <c r="E26" s="4">
        <v>55</v>
      </c>
      <c r="F26" s="5"/>
      <c r="G26" s="6">
        <f>SUM(C26:E26)</f>
        <v>184</v>
      </c>
      <c r="H26" s="4">
        <f>AVERAGE(C26:E26)</f>
        <v>61.333333333333336</v>
      </c>
      <c r="I26" s="4">
        <f>G26/12</f>
        <v>15.333333333333334</v>
      </c>
      <c r="J26" s="5"/>
      <c r="K26" s="4"/>
      <c r="L26" s="4">
        <f>K26*3</f>
        <v>0</v>
      </c>
      <c r="M26" s="4">
        <f>L26/4</f>
        <v>0</v>
      </c>
      <c r="N26" s="4">
        <f>M26+I26</f>
        <v>15.333333333333334</v>
      </c>
    </row>
    <row r="27" spans="1:15" x14ac:dyDescent="0.3">
      <c r="A27" s="2">
        <v>2</v>
      </c>
      <c r="B27" s="8" t="s">
        <v>116</v>
      </c>
      <c r="C27" s="4">
        <v>69</v>
      </c>
      <c r="D27" s="4">
        <v>78</v>
      </c>
      <c r="E27" s="4">
        <v>70</v>
      </c>
      <c r="F27" s="5"/>
      <c r="G27" s="6">
        <f t="shared" ref="G27:G37" si="9">SUM(C27:E27)</f>
        <v>217</v>
      </c>
      <c r="H27" s="4">
        <f t="shared" ref="H27:H37" si="10">AVERAGE(C27:E27)</f>
        <v>72.333333333333329</v>
      </c>
      <c r="I27" s="4">
        <f t="shared" ref="I27:I37" si="11">G27/12</f>
        <v>18.083333333333332</v>
      </c>
      <c r="J27" s="5"/>
      <c r="K27" s="4"/>
      <c r="L27" s="4">
        <f t="shared" ref="L27:L37" si="12">K27*3</f>
        <v>0</v>
      </c>
      <c r="M27" s="4">
        <f t="shared" ref="M27:M37" si="13">L27/4</f>
        <v>0</v>
      </c>
      <c r="N27" s="4">
        <f t="shared" ref="N27:N37" si="14">M27+I27</f>
        <v>18.083333333333332</v>
      </c>
    </row>
    <row r="28" spans="1:15" x14ac:dyDescent="0.3">
      <c r="A28" s="2">
        <v>3</v>
      </c>
      <c r="B28" s="8" t="s">
        <v>115</v>
      </c>
      <c r="C28" s="4">
        <v>75</v>
      </c>
      <c r="D28" s="4">
        <v>69</v>
      </c>
      <c r="E28" s="4">
        <v>65</v>
      </c>
      <c r="F28" s="5"/>
      <c r="G28" s="6">
        <f t="shared" si="9"/>
        <v>209</v>
      </c>
      <c r="H28" s="4">
        <f t="shared" si="10"/>
        <v>69.666666666666671</v>
      </c>
      <c r="I28" s="4">
        <f t="shared" si="11"/>
        <v>17.416666666666668</v>
      </c>
      <c r="J28" s="5"/>
      <c r="K28" s="4"/>
      <c r="L28" s="4">
        <f t="shared" si="12"/>
        <v>0</v>
      </c>
      <c r="M28" s="4">
        <f t="shared" si="13"/>
        <v>0</v>
      </c>
      <c r="N28" s="4">
        <f t="shared" si="14"/>
        <v>17.416666666666668</v>
      </c>
    </row>
    <row r="29" spans="1:15" x14ac:dyDescent="0.3">
      <c r="A29" s="2">
        <v>4</v>
      </c>
      <c r="B29" s="8" t="s">
        <v>121</v>
      </c>
      <c r="C29" s="4">
        <v>66</v>
      </c>
      <c r="D29" s="4">
        <v>71</v>
      </c>
      <c r="E29" s="4">
        <v>58</v>
      </c>
      <c r="F29" s="5"/>
      <c r="G29" s="6">
        <f t="shared" si="9"/>
        <v>195</v>
      </c>
      <c r="H29" s="4">
        <f t="shared" si="10"/>
        <v>65</v>
      </c>
      <c r="I29" s="4">
        <f t="shared" si="11"/>
        <v>16.25</v>
      </c>
      <c r="J29" s="5"/>
      <c r="K29" s="4"/>
      <c r="L29" s="4">
        <f t="shared" si="12"/>
        <v>0</v>
      </c>
      <c r="M29" s="4">
        <f t="shared" si="13"/>
        <v>0</v>
      </c>
      <c r="N29" s="4">
        <f t="shared" si="14"/>
        <v>16.25</v>
      </c>
    </row>
    <row r="30" spans="1:15" x14ac:dyDescent="0.3">
      <c r="A30" s="2">
        <v>5</v>
      </c>
      <c r="B30" s="8" t="s">
        <v>117</v>
      </c>
      <c r="C30" s="4">
        <v>83</v>
      </c>
      <c r="D30" s="4">
        <v>85</v>
      </c>
      <c r="E30" s="4">
        <v>85</v>
      </c>
      <c r="F30" s="5"/>
      <c r="G30" s="6">
        <f t="shared" si="9"/>
        <v>253</v>
      </c>
      <c r="H30" s="4">
        <f t="shared" si="10"/>
        <v>84.333333333333329</v>
      </c>
      <c r="I30" s="4">
        <f t="shared" si="11"/>
        <v>21.083333333333332</v>
      </c>
      <c r="J30" s="5"/>
      <c r="K30" s="4"/>
      <c r="L30" s="4">
        <f t="shared" si="12"/>
        <v>0</v>
      </c>
      <c r="M30" s="4">
        <f t="shared" si="13"/>
        <v>0</v>
      </c>
      <c r="N30" s="4">
        <f t="shared" si="14"/>
        <v>21.083333333333332</v>
      </c>
    </row>
    <row r="31" spans="1:15" x14ac:dyDescent="0.3">
      <c r="A31" s="2">
        <v>6</v>
      </c>
      <c r="B31" s="8" t="s">
        <v>118</v>
      </c>
      <c r="C31" s="4">
        <v>84</v>
      </c>
      <c r="D31" s="4">
        <v>77</v>
      </c>
      <c r="E31" s="4">
        <v>72</v>
      </c>
      <c r="F31" s="5"/>
      <c r="G31" s="6">
        <f t="shared" si="9"/>
        <v>233</v>
      </c>
      <c r="H31" s="4">
        <f t="shared" si="10"/>
        <v>77.666666666666671</v>
      </c>
      <c r="I31" s="4">
        <f t="shared" si="11"/>
        <v>19.416666666666668</v>
      </c>
      <c r="J31" s="5"/>
      <c r="K31" s="4"/>
      <c r="L31" s="4">
        <f t="shared" si="12"/>
        <v>0</v>
      </c>
      <c r="M31" s="4">
        <f t="shared" si="13"/>
        <v>0</v>
      </c>
      <c r="N31" s="4">
        <f t="shared" si="14"/>
        <v>19.416666666666668</v>
      </c>
    </row>
    <row r="32" spans="1:15" x14ac:dyDescent="0.3">
      <c r="A32" s="2">
        <v>7</v>
      </c>
      <c r="B32" s="8" t="s">
        <v>113</v>
      </c>
      <c r="C32" s="4">
        <v>86</v>
      </c>
      <c r="D32" s="4">
        <v>82</v>
      </c>
      <c r="E32" s="4">
        <v>80</v>
      </c>
      <c r="F32" s="5"/>
      <c r="G32" s="6">
        <f t="shared" si="9"/>
        <v>248</v>
      </c>
      <c r="H32" s="4">
        <f t="shared" si="10"/>
        <v>82.666666666666671</v>
      </c>
      <c r="I32" s="4">
        <f t="shared" si="11"/>
        <v>20.666666666666668</v>
      </c>
      <c r="J32" s="5"/>
      <c r="K32" s="4"/>
      <c r="L32" s="4">
        <f t="shared" si="12"/>
        <v>0</v>
      </c>
      <c r="M32" s="4">
        <f t="shared" si="13"/>
        <v>0</v>
      </c>
      <c r="N32" s="4">
        <f t="shared" si="14"/>
        <v>20.666666666666668</v>
      </c>
    </row>
    <row r="33" spans="1:15" x14ac:dyDescent="0.3">
      <c r="A33" s="2">
        <v>8</v>
      </c>
      <c r="B33" s="8" t="s">
        <v>111</v>
      </c>
      <c r="C33" s="4">
        <v>65</v>
      </c>
      <c r="D33" s="4">
        <v>65</v>
      </c>
      <c r="E33" s="4">
        <v>65</v>
      </c>
      <c r="F33" s="5"/>
      <c r="G33" s="6">
        <f t="shared" si="9"/>
        <v>195</v>
      </c>
      <c r="H33" s="4">
        <f t="shared" si="10"/>
        <v>65</v>
      </c>
      <c r="I33" s="4">
        <f t="shared" si="11"/>
        <v>16.25</v>
      </c>
      <c r="J33" s="5"/>
      <c r="K33" s="4"/>
      <c r="L33" s="4">
        <f t="shared" si="12"/>
        <v>0</v>
      </c>
      <c r="M33" s="4">
        <f t="shared" si="13"/>
        <v>0</v>
      </c>
      <c r="N33" s="4">
        <f t="shared" si="14"/>
        <v>16.25</v>
      </c>
    </row>
    <row r="34" spans="1:15" x14ac:dyDescent="0.3">
      <c r="A34" s="2">
        <v>9</v>
      </c>
      <c r="B34" s="8" t="s">
        <v>120</v>
      </c>
      <c r="C34" s="4">
        <v>58</v>
      </c>
      <c r="D34" s="4">
        <v>59</v>
      </c>
      <c r="E34" s="4">
        <v>59</v>
      </c>
      <c r="F34" s="5"/>
      <c r="G34" s="6">
        <f t="shared" si="9"/>
        <v>176</v>
      </c>
      <c r="H34" s="4">
        <f t="shared" si="10"/>
        <v>58.666666666666664</v>
      </c>
      <c r="I34" s="4">
        <f t="shared" si="11"/>
        <v>14.666666666666666</v>
      </c>
      <c r="J34" s="5"/>
      <c r="K34" s="4"/>
      <c r="L34" s="4">
        <f t="shared" si="12"/>
        <v>0</v>
      </c>
      <c r="M34" s="4">
        <f t="shared" si="13"/>
        <v>0</v>
      </c>
      <c r="N34" s="4">
        <f t="shared" si="14"/>
        <v>14.666666666666666</v>
      </c>
    </row>
    <row r="35" spans="1:15" x14ac:dyDescent="0.3">
      <c r="A35" s="2">
        <v>10</v>
      </c>
      <c r="B35" s="8" t="s">
        <v>114</v>
      </c>
      <c r="C35" s="4">
        <v>93</v>
      </c>
      <c r="D35" s="4">
        <v>94</v>
      </c>
      <c r="E35" s="4">
        <v>91</v>
      </c>
      <c r="F35" s="5"/>
      <c r="G35" s="6">
        <f t="shared" si="9"/>
        <v>278</v>
      </c>
      <c r="H35" s="4">
        <f t="shared" si="10"/>
        <v>92.666666666666671</v>
      </c>
      <c r="I35" s="4">
        <f t="shared" si="11"/>
        <v>23.166666666666668</v>
      </c>
      <c r="J35" s="5"/>
      <c r="K35" s="4"/>
      <c r="L35" s="4">
        <f t="shared" si="12"/>
        <v>0</v>
      </c>
      <c r="M35" s="4">
        <f t="shared" si="13"/>
        <v>0</v>
      </c>
      <c r="N35" s="4">
        <f t="shared" si="14"/>
        <v>23.166666666666668</v>
      </c>
    </row>
    <row r="36" spans="1:15" x14ac:dyDescent="0.3">
      <c r="A36" s="2">
        <v>11</v>
      </c>
      <c r="B36" s="8" t="s">
        <v>122</v>
      </c>
      <c r="C36" s="4">
        <v>70</v>
      </c>
      <c r="D36" s="4">
        <v>74</v>
      </c>
      <c r="E36" s="4">
        <v>77</v>
      </c>
      <c r="F36" s="5"/>
      <c r="G36" s="6">
        <f t="shared" si="9"/>
        <v>221</v>
      </c>
      <c r="H36" s="4">
        <f t="shared" si="10"/>
        <v>73.666666666666671</v>
      </c>
      <c r="I36" s="4">
        <f t="shared" si="11"/>
        <v>18.416666666666668</v>
      </c>
      <c r="J36" s="5"/>
      <c r="K36" s="4"/>
      <c r="L36" s="4">
        <f t="shared" si="12"/>
        <v>0</v>
      </c>
      <c r="M36" s="4">
        <f t="shared" si="13"/>
        <v>0</v>
      </c>
      <c r="N36" s="4">
        <f t="shared" si="14"/>
        <v>18.416666666666668</v>
      </c>
    </row>
    <row r="37" spans="1:15" x14ac:dyDescent="0.3">
      <c r="A37" s="2">
        <v>12</v>
      </c>
      <c r="B37" s="8" t="s">
        <v>119</v>
      </c>
      <c r="C37" s="4">
        <v>58</v>
      </c>
      <c r="D37" s="4">
        <v>58</v>
      </c>
      <c r="E37" s="4">
        <v>59</v>
      </c>
      <c r="F37" s="5"/>
      <c r="G37" s="6">
        <f t="shared" si="9"/>
        <v>175</v>
      </c>
      <c r="H37" s="4">
        <f t="shared" si="10"/>
        <v>58.333333333333336</v>
      </c>
      <c r="I37" s="4">
        <f t="shared" si="11"/>
        <v>14.583333333333334</v>
      </c>
      <c r="J37" s="5"/>
      <c r="K37" s="4"/>
      <c r="L37" s="4">
        <f t="shared" si="12"/>
        <v>0</v>
      </c>
      <c r="M37" s="4">
        <f t="shared" si="13"/>
        <v>0</v>
      </c>
      <c r="N37" s="4">
        <f t="shared" si="14"/>
        <v>14.583333333333334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110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161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8" t="s">
        <v>112</v>
      </c>
      <c r="C53" s="4">
        <v>52</v>
      </c>
      <c r="D53" s="4">
        <v>48</v>
      </c>
      <c r="E53" s="4">
        <v>40</v>
      </c>
      <c r="F53" s="5"/>
      <c r="G53" s="6">
        <f>SUM(C53:E53)</f>
        <v>140</v>
      </c>
      <c r="H53" s="4">
        <f>AVERAGE(C53:E53)</f>
        <v>46.666666666666664</v>
      </c>
      <c r="I53" s="4">
        <f>G53/12</f>
        <v>11.666666666666666</v>
      </c>
      <c r="J53" s="5"/>
      <c r="K53" s="4">
        <v>42</v>
      </c>
      <c r="L53" s="4">
        <f>K53*3</f>
        <v>126</v>
      </c>
      <c r="M53" s="4">
        <f>L53/4</f>
        <v>31.5</v>
      </c>
      <c r="N53" s="4">
        <f>M53+I53</f>
        <v>43.166666666666664</v>
      </c>
    </row>
    <row r="54" spans="1:15" x14ac:dyDescent="0.3">
      <c r="A54" s="2">
        <v>2</v>
      </c>
      <c r="B54" s="8" t="s">
        <v>116</v>
      </c>
      <c r="C54" s="4">
        <v>38</v>
      </c>
      <c r="D54" s="4">
        <v>38</v>
      </c>
      <c r="E54" s="4">
        <v>32</v>
      </c>
      <c r="F54" s="5"/>
      <c r="G54" s="6">
        <f t="shared" ref="G54:G64" si="15">SUM(C54:E54)</f>
        <v>108</v>
      </c>
      <c r="H54" s="4">
        <f t="shared" ref="H54:H64" si="16">AVERAGE(C54:E54)</f>
        <v>36</v>
      </c>
      <c r="I54" s="4">
        <f t="shared" ref="I54:I64" si="17">G54/12</f>
        <v>9</v>
      </c>
      <c r="J54" s="5"/>
      <c r="K54" s="4">
        <v>41</v>
      </c>
      <c r="L54" s="4">
        <f t="shared" ref="L54:L64" si="18">K54*3</f>
        <v>123</v>
      </c>
      <c r="M54" s="4">
        <f t="shared" ref="M54:M64" si="19">L54/4</f>
        <v>30.75</v>
      </c>
      <c r="N54" s="4">
        <f t="shared" ref="N54:N64" si="20">M54+I54</f>
        <v>39.75</v>
      </c>
    </row>
    <row r="55" spans="1:15" x14ac:dyDescent="0.3">
      <c r="A55" s="2">
        <v>3</v>
      </c>
      <c r="B55" s="8" t="s">
        <v>115</v>
      </c>
      <c r="C55" s="4">
        <v>62</v>
      </c>
      <c r="D55" s="4">
        <v>52</v>
      </c>
      <c r="E55" s="4">
        <v>50</v>
      </c>
      <c r="F55" s="5"/>
      <c r="G55" s="6">
        <f t="shared" si="15"/>
        <v>164</v>
      </c>
      <c r="H55" s="4">
        <f t="shared" si="16"/>
        <v>54.666666666666664</v>
      </c>
      <c r="I55" s="4">
        <f t="shared" si="17"/>
        <v>13.666666666666666</v>
      </c>
      <c r="J55" s="5"/>
      <c r="K55" s="4">
        <v>50</v>
      </c>
      <c r="L55" s="4">
        <f t="shared" si="18"/>
        <v>150</v>
      </c>
      <c r="M55" s="4">
        <f t="shared" si="19"/>
        <v>37.5</v>
      </c>
      <c r="N55" s="4">
        <f t="shared" si="20"/>
        <v>51.166666666666664</v>
      </c>
    </row>
    <row r="56" spans="1:15" x14ac:dyDescent="0.3">
      <c r="A56" s="2">
        <v>4</v>
      </c>
      <c r="B56" s="8" t="s">
        <v>121</v>
      </c>
      <c r="C56" s="4">
        <v>45</v>
      </c>
      <c r="D56" s="4">
        <v>55</v>
      </c>
      <c r="E56" s="4">
        <v>55</v>
      </c>
      <c r="F56" s="5"/>
      <c r="G56" s="6">
        <f t="shared" si="15"/>
        <v>155</v>
      </c>
      <c r="H56" s="4">
        <f t="shared" si="16"/>
        <v>51.666666666666664</v>
      </c>
      <c r="I56" s="4">
        <f t="shared" si="17"/>
        <v>12.916666666666666</v>
      </c>
      <c r="J56" s="5"/>
      <c r="K56" s="4">
        <v>47</v>
      </c>
      <c r="L56" s="4">
        <f t="shared" si="18"/>
        <v>141</v>
      </c>
      <c r="M56" s="4">
        <f t="shared" si="19"/>
        <v>35.25</v>
      </c>
      <c r="N56" s="4">
        <f t="shared" si="20"/>
        <v>48.166666666666664</v>
      </c>
    </row>
    <row r="57" spans="1:15" x14ac:dyDescent="0.3">
      <c r="A57" s="2">
        <v>5</v>
      </c>
      <c r="B57" s="8" t="s">
        <v>117</v>
      </c>
      <c r="C57" s="4">
        <v>66</v>
      </c>
      <c r="D57" s="4">
        <v>62</v>
      </c>
      <c r="E57" s="4">
        <v>68</v>
      </c>
      <c r="F57" s="5"/>
      <c r="G57" s="6">
        <f t="shared" si="15"/>
        <v>196</v>
      </c>
      <c r="H57" s="4">
        <f t="shared" si="16"/>
        <v>65.333333333333329</v>
      </c>
      <c r="I57" s="4">
        <f t="shared" si="17"/>
        <v>16.333333333333332</v>
      </c>
      <c r="J57" s="5"/>
      <c r="K57" s="4">
        <v>62</v>
      </c>
      <c r="L57" s="4">
        <f t="shared" si="18"/>
        <v>186</v>
      </c>
      <c r="M57" s="4">
        <f t="shared" si="19"/>
        <v>46.5</v>
      </c>
      <c r="N57" s="4">
        <f t="shared" si="20"/>
        <v>62.833333333333329</v>
      </c>
    </row>
    <row r="58" spans="1:15" x14ac:dyDescent="0.3">
      <c r="A58" s="2">
        <v>6</v>
      </c>
      <c r="B58" s="8" t="s">
        <v>118</v>
      </c>
      <c r="C58" s="4">
        <v>60</v>
      </c>
      <c r="D58" s="4">
        <v>47</v>
      </c>
      <c r="E58" s="4">
        <v>47</v>
      </c>
      <c r="F58" s="5"/>
      <c r="G58" s="6">
        <f t="shared" si="15"/>
        <v>154</v>
      </c>
      <c r="H58" s="4">
        <f t="shared" si="16"/>
        <v>51.333333333333336</v>
      </c>
      <c r="I58" s="4">
        <f t="shared" si="17"/>
        <v>12.833333333333334</v>
      </c>
      <c r="J58" s="5"/>
      <c r="K58" s="4">
        <v>47</v>
      </c>
      <c r="L58" s="4">
        <f t="shared" si="18"/>
        <v>141</v>
      </c>
      <c r="M58" s="4">
        <f t="shared" si="19"/>
        <v>35.25</v>
      </c>
      <c r="N58" s="4">
        <f t="shared" si="20"/>
        <v>48.083333333333336</v>
      </c>
    </row>
    <row r="59" spans="1:15" x14ac:dyDescent="0.3">
      <c r="A59" s="2">
        <v>7</v>
      </c>
      <c r="B59" s="8" t="s">
        <v>113</v>
      </c>
      <c r="C59" s="4">
        <v>58</v>
      </c>
      <c r="D59" s="4">
        <v>52</v>
      </c>
      <c r="E59" s="4">
        <v>55</v>
      </c>
      <c r="F59" s="5"/>
      <c r="G59" s="6">
        <f t="shared" si="15"/>
        <v>165</v>
      </c>
      <c r="H59" s="4">
        <f t="shared" si="16"/>
        <v>55</v>
      </c>
      <c r="I59" s="4">
        <f t="shared" si="17"/>
        <v>13.75</v>
      </c>
      <c r="J59" s="5"/>
      <c r="K59" s="4">
        <v>50</v>
      </c>
      <c r="L59" s="4">
        <f t="shared" si="18"/>
        <v>150</v>
      </c>
      <c r="M59" s="4">
        <f t="shared" si="19"/>
        <v>37.5</v>
      </c>
      <c r="N59" s="4">
        <f t="shared" si="20"/>
        <v>51.25</v>
      </c>
    </row>
    <row r="60" spans="1:15" x14ac:dyDescent="0.3">
      <c r="A60" s="2">
        <v>8</v>
      </c>
      <c r="B60" s="8" t="s">
        <v>111</v>
      </c>
      <c r="C60" s="4">
        <v>59</v>
      </c>
      <c r="D60" s="4">
        <v>39</v>
      </c>
      <c r="E60" s="4">
        <v>36</v>
      </c>
      <c r="F60" s="5"/>
      <c r="G60" s="6">
        <f t="shared" si="15"/>
        <v>134</v>
      </c>
      <c r="H60" s="4">
        <f t="shared" si="16"/>
        <v>44.666666666666664</v>
      </c>
      <c r="I60" s="4">
        <f t="shared" si="17"/>
        <v>11.166666666666666</v>
      </c>
      <c r="J60" s="5"/>
      <c r="K60" s="4">
        <v>41</v>
      </c>
      <c r="L60" s="4">
        <f t="shared" si="18"/>
        <v>123</v>
      </c>
      <c r="M60" s="4">
        <f t="shared" si="19"/>
        <v>30.75</v>
      </c>
      <c r="N60" s="4">
        <f t="shared" si="20"/>
        <v>41.916666666666664</v>
      </c>
    </row>
    <row r="61" spans="1:15" x14ac:dyDescent="0.3">
      <c r="A61" s="2">
        <v>9</v>
      </c>
      <c r="B61" s="8" t="s">
        <v>120</v>
      </c>
      <c r="C61" s="4">
        <v>51</v>
      </c>
      <c r="D61" s="4">
        <v>55</v>
      </c>
      <c r="E61" s="4">
        <v>58</v>
      </c>
      <c r="F61" s="5"/>
      <c r="G61" s="6">
        <f t="shared" si="15"/>
        <v>164</v>
      </c>
      <c r="H61" s="4">
        <f t="shared" si="16"/>
        <v>54.666666666666664</v>
      </c>
      <c r="I61" s="4">
        <f t="shared" si="17"/>
        <v>13.666666666666666</v>
      </c>
      <c r="J61" s="5"/>
      <c r="K61" s="4">
        <v>49</v>
      </c>
      <c r="L61" s="4">
        <f t="shared" si="18"/>
        <v>147</v>
      </c>
      <c r="M61" s="4">
        <f t="shared" si="19"/>
        <v>36.75</v>
      </c>
      <c r="N61" s="4">
        <f t="shared" si="20"/>
        <v>50.416666666666664</v>
      </c>
    </row>
    <row r="62" spans="1:15" x14ac:dyDescent="0.3">
      <c r="A62" s="2">
        <v>10</v>
      </c>
      <c r="B62" s="8" t="s">
        <v>114</v>
      </c>
      <c r="C62" s="4">
        <v>86</v>
      </c>
      <c r="D62" s="4">
        <v>84</v>
      </c>
      <c r="E62" s="4">
        <v>82</v>
      </c>
      <c r="F62" s="5"/>
      <c r="G62" s="6">
        <f t="shared" si="15"/>
        <v>252</v>
      </c>
      <c r="H62" s="4">
        <f t="shared" si="16"/>
        <v>84</v>
      </c>
      <c r="I62" s="4">
        <f t="shared" si="17"/>
        <v>21</v>
      </c>
      <c r="J62" s="5"/>
      <c r="K62" s="4">
        <v>83</v>
      </c>
      <c r="L62" s="4">
        <f t="shared" si="18"/>
        <v>249</v>
      </c>
      <c r="M62" s="4">
        <f t="shared" si="19"/>
        <v>62.25</v>
      </c>
      <c r="N62" s="4">
        <f t="shared" si="20"/>
        <v>83.25</v>
      </c>
    </row>
    <row r="63" spans="1:15" x14ac:dyDescent="0.3">
      <c r="A63" s="2">
        <v>11</v>
      </c>
      <c r="B63" s="8" t="s">
        <v>122</v>
      </c>
      <c r="C63" s="4">
        <v>60</v>
      </c>
      <c r="D63" s="4">
        <v>44</v>
      </c>
      <c r="E63" s="4">
        <v>42</v>
      </c>
      <c r="F63" s="5"/>
      <c r="G63" s="6">
        <f t="shared" si="15"/>
        <v>146</v>
      </c>
      <c r="H63" s="4">
        <f t="shared" si="16"/>
        <v>48.666666666666664</v>
      </c>
      <c r="I63" s="4">
        <f t="shared" si="17"/>
        <v>12.166666666666666</v>
      </c>
      <c r="J63" s="5"/>
      <c r="K63" s="4">
        <v>44</v>
      </c>
      <c r="L63" s="4">
        <f t="shared" si="18"/>
        <v>132</v>
      </c>
      <c r="M63" s="4">
        <f t="shared" si="19"/>
        <v>33</v>
      </c>
      <c r="N63" s="4">
        <f t="shared" si="20"/>
        <v>45.166666666666664</v>
      </c>
    </row>
    <row r="64" spans="1:15" x14ac:dyDescent="0.3">
      <c r="A64" s="2">
        <v>12</v>
      </c>
      <c r="B64" s="8" t="s">
        <v>119</v>
      </c>
      <c r="C64" s="4">
        <v>52</v>
      </c>
      <c r="D64" s="4">
        <v>62</v>
      </c>
      <c r="E64" s="4">
        <v>60</v>
      </c>
      <c r="F64" s="5"/>
      <c r="G64" s="6">
        <f t="shared" si="15"/>
        <v>174</v>
      </c>
      <c r="H64" s="4">
        <f t="shared" si="16"/>
        <v>58</v>
      </c>
      <c r="I64" s="4">
        <f t="shared" si="17"/>
        <v>14.5</v>
      </c>
      <c r="J64" s="5"/>
      <c r="K64" s="4">
        <v>54</v>
      </c>
      <c r="L64" s="4">
        <f t="shared" si="18"/>
        <v>162</v>
      </c>
      <c r="M64" s="4">
        <f t="shared" si="19"/>
        <v>40.5</v>
      </c>
      <c r="N64" s="4">
        <f t="shared" si="20"/>
        <v>55</v>
      </c>
    </row>
    <row r="69" spans="1:15" x14ac:dyDescent="0.3">
      <c r="A69" s="63" t="s">
        <v>1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1:15" x14ac:dyDescent="0.3">
      <c r="A70" s="63" t="s">
        <v>110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1:15" x14ac:dyDescent="0.3">
      <c r="B71" s="64" t="s">
        <v>21</v>
      </c>
      <c r="C71" s="64"/>
      <c r="D71" s="64"/>
    </row>
    <row r="72" spans="1:15" x14ac:dyDescent="0.3">
      <c r="C72" s="1" t="s">
        <v>4</v>
      </c>
      <c r="D72" s="1" t="s">
        <v>5</v>
      </c>
      <c r="E72" s="1" t="s">
        <v>6</v>
      </c>
      <c r="F72" s="1"/>
      <c r="G72" s="1" t="s">
        <v>7</v>
      </c>
      <c r="H72" s="1" t="s">
        <v>8</v>
      </c>
      <c r="I72" s="3">
        <v>0.25</v>
      </c>
      <c r="J72" s="1"/>
      <c r="K72" s="1" t="s">
        <v>9</v>
      </c>
      <c r="L72" s="1"/>
      <c r="M72" s="3">
        <v>0.75</v>
      </c>
      <c r="N72" s="1" t="s">
        <v>10</v>
      </c>
    </row>
    <row r="73" spans="1:15" x14ac:dyDescent="0.3">
      <c r="A73" s="2">
        <v>1</v>
      </c>
      <c r="B73" s="8" t="s">
        <v>112</v>
      </c>
      <c r="C73" s="4">
        <v>22</v>
      </c>
      <c r="D73" s="4">
        <v>29</v>
      </c>
      <c r="E73" s="4">
        <v>29</v>
      </c>
      <c r="F73" s="5"/>
      <c r="G73" s="6">
        <f>SUM(C73:E73)</f>
        <v>80</v>
      </c>
      <c r="H73" s="4">
        <f>AVERAGE(C73:E73)</f>
        <v>26.666666666666668</v>
      </c>
      <c r="I73" s="4">
        <f>G73/12</f>
        <v>6.666666666666667</v>
      </c>
      <c r="J73" s="5"/>
      <c r="K73" s="4">
        <v>35</v>
      </c>
      <c r="L73" s="4">
        <f>K73*3</f>
        <v>105</v>
      </c>
      <c r="M73" s="4">
        <f>L73/4</f>
        <v>26.25</v>
      </c>
      <c r="N73" s="4">
        <f>M73+I73</f>
        <v>32.916666666666664</v>
      </c>
    </row>
    <row r="74" spans="1:15" x14ac:dyDescent="0.3">
      <c r="A74" s="2">
        <v>2</v>
      </c>
      <c r="B74" s="8" t="s">
        <v>116</v>
      </c>
      <c r="C74" s="4">
        <v>39</v>
      </c>
      <c r="D74" s="4">
        <v>39</v>
      </c>
      <c r="E74" s="4">
        <v>35</v>
      </c>
      <c r="F74" s="5"/>
      <c r="G74" s="6">
        <f t="shared" ref="G74:G84" si="21">SUM(C74:E74)</f>
        <v>113</v>
      </c>
      <c r="H74" s="4">
        <f t="shared" ref="H74:H84" si="22">AVERAGE(C74:E74)</f>
        <v>37.666666666666664</v>
      </c>
      <c r="I74" s="4">
        <f t="shared" ref="I74:I84" si="23">G74/12</f>
        <v>9.4166666666666661</v>
      </c>
      <c r="J74" s="5"/>
      <c r="K74" s="4">
        <v>39</v>
      </c>
      <c r="L74" s="4">
        <f t="shared" ref="L74:L84" si="24">K74*3</f>
        <v>117</v>
      </c>
      <c r="M74" s="4">
        <f t="shared" ref="M74:M84" si="25">L74/4</f>
        <v>29.25</v>
      </c>
      <c r="N74" s="4">
        <f t="shared" ref="N74:N84" si="26">M74+I74</f>
        <v>38.666666666666664</v>
      </c>
    </row>
    <row r="75" spans="1:15" x14ac:dyDescent="0.3">
      <c r="A75" s="2">
        <v>3</v>
      </c>
      <c r="B75" s="8" t="s">
        <v>115</v>
      </c>
      <c r="C75" s="4">
        <v>41</v>
      </c>
      <c r="D75" s="4">
        <v>41</v>
      </c>
      <c r="E75" s="4">
        <v>44</v>
      </c>
      <c r="F75" s="5"/>
      <c r="G75" s="6">
        <f t="shared" si="21"/>
        <v>126</v>
      </c>
      <c r="H75" s="4">
        <f t="shared" si="22"/>
        <v>42</v>
      </c>
      <c r="I75" s="4">
        <f t="shared" si="23"/>
        <v>10.5</v>
      </c>
      <c r="J75" s="5"/>
      <c r="K75" s="4">
        <v>42</v>
      </c>
      <c r="L75" s="4">
        <f t="shared" si="24"/>
        <v>126</v>
      </c>
      <c r="M75" s="4">
        <f t="shared" si="25"/>
        <v>31.5</v>
      </c>
      <c r="N75" s="4">
        <f t="shared" si="26"/>
        <v>42</v>
      </c>
    </row>
    <row r="76" spans="1:15" x14ac:dyDescent="0.3">
      <c r="A76" s="2">
        <v>4</v>
      </c>
      <c r="B76" s="8" t="s">
        <v>121</v>
      </c>
      <c r="C76" s="4">
        <v>28</v>
      </c>
      <c r="D76" s="4">
        <v>50</v>
      </c>
      <c r="E76" s="4">
        <v>56</v>
      </c>
      <c r="F76" s="5"/>
      <c r="G76" s="6">
        <f t="shared" si="21"/>
        <v>134</v>
      </c>
      <c r="H76" s="4">
        <f t="shared" si="22"/>
        <v>44.666666666666664</v>
      </c>
      <c r="I76" s="4">
        <f t="shared" si="23"/>
        <v>11.166666666666666</v>
      </c>
      <c r="J76" s="5"/>
      <c r="K76" s="4">
        <v>40</v>
      </c>
      <c r="L76" s="4">
        <f t="shared" si="24"/>
        <v>120</v>
      </c>
      <c r="M76" s="4">
        <f t="shared" si="25"/>
        <v>30</v>
      </c>
      <c r="N76" s="4">
        <f t="shared" si="26"/>
        <v>41.166666666666664</v>
      </c>
    </row>
    <row r="77" spans="1:15" x14ac:dyDescent="0.3">
      <c r="A77" s="2">
        <v>5</v>
      </c>
      <c r="B77" s="8" t="s">
        <v>117</v>
      </c>
      <c r="C77" s="4">
        <v>55</v>
      </c>
      <c r="D77" s="4">
        <v>39</v>
      </c>
      <c r="E77" s="4">
        <v>39</v>
      </c>
      <c r="F77" s="5"/>
      <c r="G77" s="6">
        <f t="shared" si="21"/>
        <v>133</v>
      </c>
      <c r="H77" s="4">
        <f t="shared" si="22"/>
        <v>44.333333333333336</v>
      </c>
      <c r="I77" s="4">
        <f t="shared" si="23"/>
        <v>11.083333333333334</v>
      </c>
      <c r="J77" s="5"/>
      <c r="K77" s="4">
        <v>45</v>
      </c>
      <c r="L77" s="4">
        <f t="shared" si="24"/>
        <v>135</v>
      </c>
      <c r="M77" s="4">
        <f t="shared" si="25"/>
        <v>33.75</v>
      </c>
      <c r="N77" s="4">
        <f t="shared" si="26"/>
        <v>44.833333333333336</v>
      </c>
    </row>
    <row r="78" spans="1:15" x14ac:dyDescent="0.3">
      <c r="A78" s="2">
        <v>6</v>
      </c>
      <c r="B78" s="8" t="s">
        <v>118</v>
      </c>
      <c r="C78" s="4">
        <v>38</v>
      </c>
      <c r="D78" s="4">
        <v>41</v>
      </c>
      <c r="E78" s="4">
        <v>47</v>
      </c>
      <c r="F78" s="5"/>
      <c r="G78" s="6">
        <f t="shared" si="21"/>
        <v>126</v>
      </c>
      <c r="H78" s="4">
        <f t="shared" si="22"/>
        <v>42</v>
      </c>
      <c r="I78" s="4">
        <f t="shared" si="23"/>
        <v>10.5</v>
      </c>
      <c r="J78" s="5"/>
      <c r="K78" s="4">
        <v>47</v>
      </c>
      <c r="L78" s="4">
        <f t="shared" si="24"/>
        <v>141</v>
      </c>
      <c r="M78" s="4">
        <f t="shared" si="25"/>
        <v>35.25</v>
      </c>
      <c r="N78" s="4">
        <f t="shared" si="26"/>
        <v>45.75</v>
      </c>
    </row>
    <row r="79" spans="1:15" x14ac:dyDescent="0.3">
      <c r="A79" s="2">
        <v>7</v>
      </c>
      <c r="B79" s="8" t="s">
        <v>113</v>
      </c>
      <c r="C79" s="4">
        <v>52</v>
      </c>
      <c r="D79" s="4">
        <v>29</v>
      </c>
      <c r="E79" s="4">
        <v>39</v>
      </c>
      <c r="F79" s="5"/>
      <c r="G79" s="6">
        <f t="shared" si="21"/>
        <v>120</v>
      </c>
      <c r="H79" s="4">
        <f t="shared" si="22"/>
        <v>40</v>
      </c>
      <c r="I79" s="4">
        <f t="shared" si="23"/>
        <v>10</v>
      </c>
      <c r="J79" s="5"/>
      <c r="K79" s="4">
        <v>41</v>
      </c>
      <c r="L79" s="4">
        <f t="shared" si="24"/>
        <v>123</v>
      </c>
      <c r="M79" s="4">
        <f t="shared" si="25"/>
        <v>30.75</v>
      </c>
      <c r="N79" s="4">
        <f t="shared" si="26"/>
        <v>40.75</v>
      </c>
    </row>
    <row r="80" spans="1:15" x14ac:dyDescent="0.3">
      <c r="A80" s="2">
        <v>8</v>
      </c>
      <c r="B80" s="8" t="s">
        <v>111</v>
      </c>
      <c r="C80" s="4">
        <v>47</v>
      </c>
      <c r="D80" s="4">
        <v>54</v>
      </c>
      <c r="E80" s="4">
        <v>50</v>
      </c>
      <c r="F80" s="5"/>
      <c r="G80" s="6">
        <f t="shared" si="21"/>
        <v>151</v>
      </c>
      <c r="H80" s="4">
        <f t="shared" si="22"/>
        <v>50.333333333333336</v>
      </c>
      <c r="I80" s="4">
        <f t="shared" si="23"/>
        <v>12.583333333333334</v>
      </c>
      <c r="J80" s="5"/>
      <c r="K80" s="4">
        <v>52</v>
      </c>
      <c r="L80" s="4">
        <f t="shared" si="24"/>
        <v>156</v>
      </c>
      <c r="M80" s="4">
        <f t="shared" si="25"/>
        <v>39</v>
      </c>
      <c r="N80" s="4">
        <f t="shared" si="26"/>
        <v>51.583333333333336</v>
      </c>
    </row>
    <row r="81" spans="1:15" x14ac:dyDescent="0.3">
      <c r="A81" s="2">
        <v>9</v>
      </c>
      <c r="B81" s="8" t="s">
        <v>120</v>
      </c>
      <c r="C81" s="4">
        <v>49</v>
      </c>
      <c r="D81" s="4">
        <v>48</v>
      </c>
      <c r="E81" s="4">
        <v>44</v>
      </c>
      <c r="F81" s="5"/>
      <c r="G81" s="6">
        <f t="shared" si="21"/>
        <v>141</v>
      </c>
      <c r="H81" s="4">
        <f t="shared" si="22"/>
        <v>47</v>
      </c>
      <c r="I81" s="4">
        <f t="shared" si="23"/>
        <v>11.75</v>
      </c>
      <c r="J81" s="5"/>
      <c r="K81" s="4">
        <v>41</v>
      </c>
      <c r="L81" s="4">
        <f t="shared" si="24"/>
        <v>123</v>
      </c>
      <c r="M81" s="4">
        <f t="shared" si="25"/>
        <v>30.75</v>
      </c>
      <c r="N81" s="4">
        <f t="shared" si="26"/>
        <v>42.5</v>
      </c>
    </row>
    <row r="82" spans="1:15" x14ac:dyDescent="0.3">
      <c r="A82" s="2">
        <v>10</v>
      </c>
      <c r="B82" s="8" t="s">
        <v>114</v>
      </c>
      <c r="C82" s="4">
        <v>84</v>
      </c>
      <c r="D82" s="4">
        <v>86</v>
      </c>
      <c r="E82" s="4">
        <v>88</v>
      </c>
      <c r="F82" s="5"/>
      <c r="G82" s="6">
        <f t="shared" si="21"/>
        <v>258</v>
      </c>
      <c r="H82" s="4">
        <f t="shared" si="22"/>
        <v>86</v>
      </c>
      <c r="I82" s="4">
        <f t="shared" si="23"/>
        <v>21.5</v>
      </c>
      <c r="J82" s="5"/>
      <c r="K82" s="4">
        <v>87</v>
      </c>
      <c r="L82" s="4">
        <f t="shared" si="24"/>
        <v>261</v>
      </c>
      <c r="M82" s="4">
        <f t="shared" si="25"/>
        <v>65.25</v>
      </c>
      <c r="N82" s="4">
        <f t="shared" si="26"/>
        <v>86.75</v>
      </c>
    </row>
    <row r="83" spans="1:15" x14ac:dyDescent="0.3">
      <c r="A83" s="2">
        <v>11</v>
      </c>
      <c r="B83" s="8" t="s">
        <v>122</v>
      </c>
      <c r="C83" s="4">
        <v>33</v>
      </c>
      <c r="D83" s="4">
        <v>44</v>
      </c>
      <c r="E83" s="4">
        <v>44</v>
      </c>
      <c r="F83" s="5"/>
      <c r="G83" s="6">
        <f t="shared" si="21"/>
        <v>121</v>
      </c>
      <c r="H83" s="4">
        <f t="shared" si="22"/>
        <v>40.333333333333336</v>
      </c>
      <c r="I83" s="4">
        <f t="shared" si="23"/>
        <v>10.083333333333334</v>
      </c>
      <c r="J83" s="5"/>
      <c r="K83" s="4">
        <v>41</v>
      </c>
      <c r="L83" s="4">
        <f t="shared" si="24"/>
        <v>123</v>
      </c>
      <c r="M83" s="4">
        <f t="shared" si="25"/>
        <v>30.75</v>
      </c>
      <c r="N83" s="4">
        <f t="shared" si="26"/>
        <v>40.833333333333336</v>
      </c>
    </row>
    <row r="84" spans="1:15" x14ac:dyDescent="0.3">
      <c r="A84" s="2">
        <v>12</v>
      </c>
      <c r="B84" s="8" t="s">
        <v>119</v>
      </c>
      <c r="C84" s="4">
        <v>56</v>
      </c>
      <c r="D84" s="4">
        <v>49</v>
      </c>
      <c r="E84" s="4">
        <v>49</v>
      </c>
      <c r="F84" s="5"/>
      <c r="G84" s="6">
        <f t="shared" si="21"/>
        <v>154</v>
      </c>
      <c r="H84" s="4">
        <f t="shared" si="22"/>
        <v>51.333333333333336</v>
      </c>
      <c r="I84" s="4">
        <f t="shared" si="23"/>
        <v>12.833333333333334</v>
      </c>
      <c r="J84" s="5"/>
      <c r="K84" s="4">
        <v>52</v>
      </c>
      <c r="L84" s="4">
        <f t="shared" si="24"/>
        <v>156</v>
      </c>
      <c r="M84" s="4">
        <f t="shared" si="25"/>
        <v>39</v>
      </c>
      <c r="N84" s="4">
        <f t="shared" si="26"/>
        <v>51.833333333333336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110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22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8" t="s">
        <v>112</v>
      </c>
      <c r="C100" s="4">
        <v>45</v>
      </c>
      <c r="D100" s="4">
        <v>49</v>
      </c>
      <c r="E100" s="4">
        <v>40</v>
      </c>
      <c r="F100" s="5"/>
      <c r="G100" s="6">
        <f>SUM(C100:E100)</f>
        <v>134</v>
      </c>
      <c r="H100" s="4">
        <f>AVERAGE(C100:E100)</f>
        <v>44.666666666666664</v>
      </c>
      <c r="I100" s="4">
        <f>G100/12</f>
        <v>11.166666666666666</v>
      </c>
      <c r="J100" s="5"/>
      <c r="K100" s="4">
        <v>41</v>
      </c>
      <c r="L100" s="4">
        <f>K100*3</f>
        <v>123</v>
      </c>
      <c r="M100" s="4">
        <f>L100/4</f>
        <v>30.75</v>
      </c>
      <c r="N100" s="4">
        <f>M100+I100</f>
        <v>41.916666666666664</v>
      </c>
    </row>
    <row r="101" spans="1:15" x14ac:dyDescent="0.3">
      <c r="A101" s="2">
        <v>2</v>
      </c>
      <c r="B101" s="8" t="s">
        <v>116</v>
      </c>
      <c r="C101" s="4">
        <v>49</v>
      </c>
      <c r="D101" s="4">
        <v>41</v>
      </c>
      <c r="E101" s="4">
        <v>53</v>
      </c>
      <c r="F101" s="5"/>
      <c r="G101" s="6">
        <f t="shared" ref="G101:G111" si="27">SUM(C101:E101)</f>
        <v>143</v>
      </c>
      <c r="H101" s="4">
        <f t="shared" ref="H101:H111" si="28">AVERAGE(C101:E101)</f>
        <v>47.666666666666664</v>
      </c>
      <c r="I101" s="4">
        <f t="shared" ref="I101:I111" si="29">G101/12</f>
        <v>11.916666666666666</v>
      </c>
      <c r="J101" s="5"/>
      <c r="K101" s="4">
        <v>45</v>
      </c>
      <c r="L101" s="4">
        <f t="shared" ref="L101:L111" si="30">K101*3</f>
        <v>135</v>
      </c>
      <c r="M101" s="4">
        <f t="shared" ref="M101:M111" si="31">L101/4</f>
        <v>33.75</v>
      </c>
      <c r="N101" s="4">
        <f t="shared" ref="N101:N111" si="32">M101+I101</f>
        <v>45.666666666666664</v>
      </c>
    </row>
    <row r="102" spans="1:15" x14ac:dyDescent="0.3">
      <c r="A102" s="2">
        <v>3</v>
      </c>
      <c r="B102" s="8" t="s">
        <v>115</v>
      </c>
      <c r="C102" s="4">
        <v>42</v>
      </c>
      <c r="D102" s="4">
        <v>38</v>
      </c>
      <c r="E102" s="4">
        <v>38</v>
      </c>
      <c r="F102" s="5"/>
      <c r="G102" s="6">
        <f t="shared" si="27"/>
        <v>118</v>
      </c>
      <c r="H102" s="4">
        <f t="shared" si="28"/>
        <v>39.333333333333336</v>
      </c>
      <c r="I102" s="4">
        <f t="shared" si="29"/>
        <v>9.8333333333333339</v>
      </c>
      <c r="J102" s="5"/>
      <c r="K102" s="4">
        <v>35</v>
      </c>
      <c r="L102" s="4">
        <f t="shared" si="30"/>
        <v>105</v>
      </c>
      <c r="M102" s="4">
        <f t="shared" si="31"/>
        <v>26.25</v>
      </c>
      <c r="N102" s="4">
        <f t="shared" si="32"/>
        <v>36.083333333333336</v>
      </c>
    </row>
    <row r="103" spans="1:15" x14ac:dyDescent="0.3">
      <c r="A103" s="2">
        <v>4</v>
      </c>
      <c r="B103" s="8" t="s">
        <v>121</v>
      </c>
      <c r="C103" s="4">
        <v>52</v>
      </c>
      <c r="D103" s="4">
        <v>41</v>
      </c>
      <c r="E103" s="4">
        <v>41</v>
      </c>
      <c r="F103" s="5"/>
      <c r="G103" s="6">
        <f t="shared" si="27"/>
        <v>134</v>
      </c>
      <c r="H103" s="4">
        <f t="shared" si="28"/>
        <v>44.666666666666664</v>
      </c>
      <c r="I103" s="4">
        <f t="shared" si="29"/>
        <v>11.166666666666666</v>
      </c>
      <c r="J103" s="5"/>
      <c r="K103" s="4">
        <v>47</v>
      </c>
      <c r="L103" s="4">
        <f t="shared" si="30"/>
        <v>141</v>
      </c>
      <c r="M103" s="4">
        <f t="shared" si="31"/>
        <v>35.25</v>
      </c>
      <c r="N103" s="4">
        <f t="shared" si="32"/>
        <v>46.416666666666664</v>
      </c>
    </row>
    <row r="104" spans="1:15" x14ac:dyDescent="0.3">
      <c r="A104" s="2">
        <v>5</v>
      </c>
      <c r="B104" s="8" t="s">
        <v>117</v>
      </c>
      <c r="C104" s="4">
        <v>39</v>
      </c>
      <c r="D104" s="4">
        <v>33</v>
      </c>
      <c r="E104" s="4">
        <v>55</v>
      </c>
      <c r="F104" s="5"/>
      <c r="G104" s="6">
        <f t="shared" si="27"/>
        <v>127</v>
      </c>
      <c r="H104" s="4">
        <f t="shared" si="28"/>
        <v>42.333333333333336</v>
      </c>
      <c r="I104" s="4">
        <f t="shared" si="29"/>
        <v>10.583333333333334</v>
      </c>
      <c r="J104" s="5"/>
      <c r="K104" s="4">
        <v>42</v>
      </c>
      <c r="L104" s="4">
        <f t="shared" si="30"/>
        <v>126</v>
      </c>
      <c r="M104" s="4">
        <f t="shared" si="31"/>
        <v>31.5</v>
      </c>
      <c r="N104" s="4">
        <f t="shared" si="32"/>
        <v>42.083333333333336</v>
      </c>
    </row>
    <row r="105" spans="1:15" x14ac:dyDescent="0.3">
      <c r="A105" s="2">
        <v>6</v>
      </c>
      <c r="B105" s="8" t="s">
        <v>118</v>
      </c>
      <c r="C105" s="4">
        <v>48</v>
      </c>
      <c r="D105" s="4">
        <v>40</v>
      </c>
      <c r="E105" s="4">
        <v>38</v>
      </c>
      <c r="F105" s="5"/>
      <c r="G105" s="6">
        <f t="shared" si="27"/>
        <v>126</v>
      </c>
      <c r="H105" s="4">
        <f t="shared" si="28"/>
        <v>42</v>
      </c>
      <c r="I105" s="4">
        <f t="shared" si="29"/>
        <v>10.5</v>
      </c>
      <c r="J105" s="5"/>
      <c r="K105" s="4">
        <v>42</v>
      </c>
      <c r="L105" s="4">
        <f t="shared" si="30"/>
        <v>126</v>
      </c>
      <c r="M105" s="4">
        <f t="shared" si="31"/>
        <v>31.5</v>
      </c>
      <c r="N105" s="4">
        <f t="shared" si="32"/>
        <v>42</v>
      </c>
    </row>
    <row r="106" spans="1:15" x14ac:dyDescent="0.3">
      <c r="A106" s="2">
        <v>7</v>
      </c>
      <c r="B106" s="8" t="s">
        <v>113</v>
      </c>
      <c r="C106" s="4">
        <v>55</v>
      </c>
      <c r="D106" s="4">
        <v>41</v>
      </c>
      <c r="E106" s="4">
        <v>45</v>
      </c>
      <c r="F106" s="5"/>
      <c r="G106" s="6">
        <f t="shared" si="27"/>
        <v>141</v>
      </c>
      <c r="H106" s="4">
        <f t="shared" si="28"/>
        <v>47</v>
      </c>
      <c r="I106" s="4">
        <f t="shared" si="29"/>
        <v>11.75</v>
      </c>
      <c r="J106" s="5"/>
      <c r="K106" s="4">
        <v>39</v>
      </c>
      <c r="L106" s="4">
        <f t="shared" si="30"/>
        <v>117</v>
      </c>
      <c r="M106" s="4">
        <f t="shared" si="31"/>
        <v>29.25</v>
      </c>
      <c r="N106" s="4">
        <f t="shared" si="32"/>
        <v>41</v>
      </c>
    </row>
    <row r="107" spans="1:15" x14ac:dyDescent="0.3">
      <c r="A107" s="2">
        <v>8</v>
      </c>
      <c r="B107" s="8" t="s">
        <v>111</v>
      </c>
      <c r="C107" s="4">
        <v>61</v>
      </c>
      <c r="D107" s="4">
        <v>58</v>
      </c>
      <c r="E107" s="4">
        <v>65</v>
      </c>
      <c r="F107" s="5"/>
      <c r="G107" s="6">
        <f t="shared" si="27"/>
        <v>184</v>
      </c>
      <c r="H107" s="4">
        <f t="shared" si="28"/>
        <v>61.333333333333336</v>
      </c>
      <c r="I107" s="4">
        <f t="shared" si="29"/>
        <v>15.333333333333334</v>
      </c>
      <c r="J107" s="5"/>
      <c r="K107" s="4">
        <v>62</v>
      </c>
      <c r="L107" s="4">
        <f t="shared" si="30"/>
        <v>186</v>
      </c>
      <c r="M107" s="4">
        <f t="shared" si="31"/>
        <v>46.5</v>
      </c>
      <c r="N107" s="4">
        <f t="shared" si="32"/>
        <v>61.833333333333336</v>
      </c>
    </row>
    <row r="108" spans="1:15" x14ac:dyDescent="0.3">
      <c r="A108" s="2">
        <v>9</v>
      </c>
      <c r="B108" s="8" t="s">
        <v>120</v>
      </c>
      <c r="C108" s="4">
        <v>38</v>
      </c>
      <c r="D108" s="4">
        <v>44</v>
      </c>
      <c r="E108" s="4">
        <v>65</v>
      </c>
      <c r="F108" s="5"/>
      <c r="G108" s="6">
        <f t="shared" si="27"/>
        <v>147</v>
      </c>
      <c r="H108" s="4">
        <f t="shared" si="28"/>
        <v>49</v>
      </c>
      <c r="I108" s="4">
        <f t="shared" si="29"/>
        <v>12.25</v>
      </c>
      <c r="J108" s="5"/>
      <c r="K108" s="4">
        <v>55</v>
      </c>
      <c r="L108" s="4">
        <f t="shared" si="30"/>
        <v>165</v>
      </c>
      <c r="M108" s="4">
        <f t="shared" si="31"/>
        <v>41.25</v>
      </c>
      <c r="N108" s="4">
        <f t="shared" si="32"/>
        <v>53.5</v>
      </c>
    </row>
    <row r="109" spans="1:15" x14ac:dyDescent="0.3">
      <c r="A109" s="2">
        <v>10</v>
      </c>
      <c r="B109" s="8" t="s">
        <v>114</v>
      </c>
      <c r="C109" s="4">
        <v>85</v>
      </c>
      <c r="D109" s="4">
        <v>82</v>
      </c>
      <c r="E109" s="4">
        <v>83</v>
      </c>
      <c r="F109" s="5"/>
      <c r="G109" s="6">
        <f t="shared" si="27"/>
        <v>250</v>
      </c>
      <c r="H109" s="4">
        <f t="shared" si="28"/>
        <v>83.333333333333329</v>
      </c>
      <c r="I109" s="4">
        <f t="shared" si="29"/>
        <v>20.833333333333332</v>
      </c>
      <c r="J109" s="5"/>
      <c r="K109" s="4">
        <v>85</v>
      </c>
      <c r="L109" s="4">
        <f t="shared" si="30"/>
        <v>255</v>
      </c>
      <c r="M109" s="4">
        <f t="shared" si="31"/>
        <v>63.75</v>
      </c>
      <c r="N109" s="4">
        <f t="shared" si="32"/>
        <v>84.583333333333329</v>
      </c>
    </row>
    <row r="110" spans="1:15" x14ac:dyDescent="0.3">
      <c r="A110" s="2">
        <v>11</v>
      </c>
      <c r="B110" s="8" t="s">
        <v>122</v>
      </c>
      <c r="C110" s="4">
        <v>39</v>
      </c>
      <c r="D110" s="4">
        <v>55</v>
      </c>
      <c r="E110" s="4">
        <v>54</v>
      </c>
      <c r="F110" s="5"/>
      <c r="G110" s="6">
        <f t="shared" si="27"/>
        <v>148</v>
      </c>
      <c r="H110" s="4">
        <f t="shared" si="28"/>
        <v>49.333333333333336</v>
      </c>
      <c r="I110" s="4">
        <f t="shared" si="29"/>
        <v>12.333333333333334</v>
      </c>
      <c r="J110" s="5"/>
      <c r="K110" s="4">
        <v>44</v>
      </c>
      <c r="L110" s="4">
        <f t="shared" si="30"/>
        <v>132</v>
      </c>
      <c r="M110" s="4">
        <f t="shared" si="31"/>
        <v>33</v>
      </c>
      <c r="N110" s="4">
        <f t="shared" si="32"/>
        <v>45.333333333333336</v>
      </c>
    </row>
    <row r="111" spans="1:15" x14ac:dyDescent="0.3">
      <c r="A111" s="2">
        <v>12</v>
      </c>
      <c r="B111" s="8" t="s">
        <v>119</v>
      </c>
      <c r="C111" s="4">
        <v>59</v>
      </c>
      <c r="D111" s="4">
        <v>54</v>
      </c>
      <c r="E111" s="4">
        <v>55</v>
      </c>
      <c r="F111" s="5"/>
      <c r="G111" s="6">
        <f t="shared" si="27"/>
        <v>168</v>
      </c>
      <c r="H111" s="4">
        <f t="shared" si="28"/>
        <v>56</v>
      </c>
      <c r="I111" s="4">
        <f t="shared" si="29"/>
        <v>14</v>
      </c>
      <c r="J111" s="5"/>
      <c r="K111" s="4">
        <v>65</v>
      </c>
      <c r="L111" s="4">
        <f t="shared" si="30"/>
        <v>195</v>
      </c>
      <c r="M111" s="4">
        <f t="shared" si="31"/>
        <v>48.75</v>
      </c>
      <c r="N111" s="4">
        <f t="shared" si="32"/>
        <v>62.75</v>
      </c>
    </row>
    <row r="116" spans="1:15" x14ac:dyDescent="0.3">
      <c r="A116" s="63" t="s">
        <v>1</v>
      </c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1:15" x14ac:dyDescent="0.3">
      <c r="A117" s="63" t="s">
        <v>110</v>
      </c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1:15" x14ac:dyDescent="0.3">
      <c r="B118" s="64" t="s">
        <v>123</v>
      </c>
      <c r="C118" s="64"/>
      <c r="D118" s="64"/>
    </row>
    <row r="119" spans="1:15" x14ac:dyDescent="0.3">
      <c r="C119" s="1" t="s">
        <v>4</v>
      </c>
      <c r="D119" s="1" t="s">
        <v>5</v>
      </c>
      <c r="E119" s="1" t="s">
        <v>6</v>
      </c>
      <c r="F119" s="1"/>
      <c r="G119" s="1" t="s">
        <v>7</v>
      </c>
      <c r="H119" s="1" t="s">
        <v>8</v>
      </c>
      <c r="I119" s="3">
        <v>0.25</v>
      </c>
      <c r="J119" s="1"/>
      <c r="K119" s="1" t="s">
        <v>9</v>
      </c>
      <c r="L119" s="1"/>
      <c r="M119" s="3">
        <v>0.75</v>
      </c>
      <c r="N119" s="1" t="s">
        <v>10</v>
      </c>
    </row>
    <row r="120" spans="1:15" x14ac:dyDescent="0.3">
      <c r="A120" s="2">
        <v>1</v>
      </c>
      <c r="B120" s="8" t="s">
        <v>112</v>
      </c>
      <c r="C120" s="4">
        <v>52</v>
      </c>
      <c r="D120" s="4">
        <v>60</v>
      </c>
      <c r="E120" s="4">
        <v>62</v>
      </c>
      <c r="F120" s="5"/>
      <c r="G120" s="6">
        <f>SUM(C120:E120)</f>
        <v>174</v>
      </c>
      <c r="H120" s="4">
        <f>AVERAGE(C120:E120)</f>
        <v>58</v>
      </c>
      <c r="I120" s="4">
        <f>G120/12</f>
        <v>14.5</v>
      </c>
      <c r="J120" s="5"/>
      <c r="K120" s="4">
        <v>62</v>
      </c>
      <c r="L120" s="4">
        <f>K120*3</f>
        <v>186</v>
      </c>
      <c r="M120" s="4">
        <f>L120/4</f>
        <v>46.5</v>
      </c>
      <c r="N120" s="4">
        <f>M120+I120</f>
        <v>61</v>
      </c>
    </row>
    <row r="121" spans="1:15" x14ac:dyDescent="0.3">
      <c r="A121" s="2">
        <v>2</v>
      </c>
      <c r="B121" s="8" t="s">
        <v>116</v>
      </c>
      <c r="C121" s="4">
        <v>81</v>
      </c>
      <c r="D121" s="4">
        <v>81</v>
      </c>
      <c r="E121" s="4">
        <v>83</v>
      </c>
      <c r="F121" s="5"/>
      <c r="G121" s="6">
        <f t="shared" ref="G121:G131" si="33">SUM(C121:E121)</f>
        <v>245</v>
      </c>
      <c r="H121" s="4">
        <f t="shared" ref="H121:H131" si="34">AVERAGE(C121:E121)</f>
        <v>81.666666666666671</v>
      </c>
      <c r="I121" s="4">
        <f t="shared" ref="I121:I131" si="35">G121/12</f>
        <v>20.416666666666668</v>
      </c>
      <c r="J121" s="5"/>
      <c r="K121" s="4">
        <v>84</v>
      </c>
      <c r="L121" s="4">
        <f t="shared" ref="L121:L131" si="36">K121*3</f>
        <v>252</v>
      </c>
      <c r="M121" s="4">
        <f t="shared" ref="M121:M131" si="37">L121/4</f>
        <v>63</v>
      </c>
      <c r="N121" s="4">
        <f t="shared" ref="N121:N131" si="38">M121+I121</f>
        <v>83.416666666666671</v>
      </c>
    </row>
    <row r="122" spans="1:15" x14ac:dyDescent="0.3">
      <c r="A122" s="2">
        <v>3</v>
      </c>
      <c r="B122" s="8" t="s">
        <v>115</v>
      </c>
      <c r="C122" s="4">
        <v>39</v>
      </c>
      <c r="D122" s="4">
        <v>41</v>
      </c>
      <c r="E122" s="4">
        <v>54</v>
      </c>
      <c r="F122" s="5"/>
      <c r="G122" s="6">
        <f t="shared" si="33"/>
        <v>134</v>
      </c>
      <c r="H122" s="4">
        <f t="shared" si="34"/>
        <v>44.666666666666664</v>
      </c>
      <c r="I122" s="4">
        <f t="shared" si="35"/>
        <v>11.166666666666666</v>
      </c>
      <c r="J122" s="5"/>
      <c r="K122" s="4">
        <v>55</v>
      </c>
      <c r="L122" s="4">
        <f t="shared" si="36"/>
        <v>165</v>
      </c>
      <c r="M122" s="4">
        <f t="shared" si="37"/>
        <v>41.25</v>
      </c>
      <c r="N122" s="4">
        <f t="shared" si="38"/>
        <v>52.416666666666664</v>
      </c>
    </row>
    <row r="123" spans="1:15" x14ac:dyDescent="0.3">
      <c r="A123" s="2">
        <v>4</v>
      </c>
      <c r="B123" s="8" t="s">
        <v>121</v>
      </c>
      <c r="C123" s="4">
        <v>45</v>
      </c>
      <c r="D123" s="4">
        <v>44</v>
      </c>
      <c r="E123" s="4">
        <v>55</v>
      </c>
      <c r="F123" s="5"/>
      <c r="G123" s="6">
        <f t="shared" si="33"/>
        <v>144</v>
      </c>
      <c r="H123" s="4">
        <f t="shared" si="34"/>
        <v>48</v>
      </c>
      <c r="I123" s="4">
        <f t="shared" si="35"/>
        <v>12</v>
      </c>
      <c r="J123" s="5"/>
      <c r="K123" s="4">
        <v>48</v>
      </c>
      <c r="L123" s="4">
        <f t="shared" si="36"/>
        <v>144</v>
      </c>
      <c r="M123" s="4">
        <f t="shared" si="37"/>
        <v>36</v>
      </c>
      <c r="N123" s="4">
        <f t="shared" si="38"/>
        <v>48</v>
      </c>
    </row>
    <row r="124" spans="1:15" x14ac:dyDescent="0.3">
      <c r="A124" s="2">
        <v>5</v>
      </c>
      <c r="B124" s="8" t="s">
        <v>117</v>
      </c>
      <c r="C124" s="4">
        <v>71</v>
      </c>
      <c r="D124" s="4">
        <v>75</v>
      </c>
      <c r="E124" s="4">
        <v>83</v>
      </c>
      <c r="F124" s="5"/>
      <c r="G124" s="6">
        <f t="shared" si="33"/>
        <v>229</v>
      </c>
      <c r="H124" s="4">
        <f t="shared" si="34"/>
        <v>76.333333333333329</v>
      </c>
      <c r="I124" s="4">
        <f t="shared" si="35"/>
        <v>19.083333333333332</v>
      </c>
      <c r="J124" s="5"/>
      <c r="K124" s="4">
        <v>82</v>
      </c>
      <c r="L124" s="4">
        <f t="shared" si="36"/>
        <v>246</v>
      </c>
      <c r="M124" s="4">
        <f t="shared" si="37"/>
        <v>61.5</v>
      </c>
      <c r="N124" s="4">
        <f t="shared" si="38"/>
        <v>80.583333333333329</v>
      </c>
    </row>
    <row r="125" spans="1:15" x14ac:dyDescent="0.3">
      <c r="A125" s="2">
        <v>6</v>
      </c>
      <c r="B125" s="8" t="s">
        <v>118</v>
      </c>
      <c r="C125" s="4">
        <v>39</v>
      </c>
      <c r="D125" s="4">
        <v>54</v>
      </c>
      <c r="E125" s="4">
        <v>54</v>
      </c>
      <c r="F125" s="5"/>
      <c r="G125" s="6">
        <f t="shared" si="33"/>
        <v>147</v>
      </c>
      <c r="H125" s="4">
        <f t="shared" si="34"/>
        <v>49</v>
      </c>
      <c r="I125" s="4">
        <f t="shared" si="35"/>
        <v>12.25</v>
      </c>
      <c r="J125" s="5"/>
      <c r="K125" s="4">
        <v>52</v>
      </c>
      <c r="L125" s="4">
        <f t="shared" si="36"/>
        <v>156</v>
      </c>
      <c r="M125" s="4">
        <f t="shared" si="37"/>
        <v>39</v>
      </c>
      <c r="N125" s="4">
        <f t="shared" si="38"/>
        <v>51.25</v>
      </c>
    </row>
    <row r="126" spans="1:15" x14ac:dyDescent="0.3">
      <c r="A126" s="2">
        <v>7</v>
      </c>
      <c r="B126" s="8" t="s">
        <v>113</v>
      </c>
      <c r="C126" s="4">
        <v>84</v>
      </c>
      <c r="D126" s="4">
        <v>86</v>
      </c>
      <c r="E126" s="4">
        <v>89</v>
      </c>
      <c r="F126" s="5"/>
      <c r="G126" s="6">
        <f t="shared" si="33"/>
        <v>259</v>
      </c>
      <c r="H126" s="4">
        <f t="shared" si="34"/>
        <v>86.333333333333329</v>
      </c>
      <c r="I126" s="4">
        <f t="shared" si="35"/>
        <v>21.583333333333332</v>
      </c>
      <c r="J126" s="5"/>
      <c r="K126" s="4">
        <v>86</v>
      </c>
      <c r="L126" s="4">
        <f t="shared" si="36"/>
        <v>258</v>
      </c>
      <c r="M126" s="4">
        <f t="shared" si="37"/>
        <v>64.5</v>
      </c>
      <c r="N126" s="4">
        <f t="shared" si="38"/>
        <v>86.083333333333329</v>
      </c>
    </row>
    <row r="127" spans="1:15" x14ac:dyDescent="0.3">
      <c r="A127" s="2">
        <v>8</v>
      </c>
      <c r="B127" s="8" t="s">
        <v>111</v>
      </c>
      <c r="C127" s="4">
        <v>45</v>
      </c>
      <c r="D127" s="4">
        <v>41</v>
      </c>
      <c r="E127" s="4">
        <v>65</v>
      </c>
      <c r="F127" s="5"/>
      <c r="G127" s="6">
        <f t="shared" si="33"/>
        <v>151</v>
      </c>
      <c r="H127" s="4">
        <f t="shared" si="34"/>
        <v>50.333333333333336</v>
      </c>
      <c r="I127" s="4">
        <f t="shared" si="35"/>
        <v>12.583333333333334</v>
      </c>
      <c r="J127" s="5"/>
      <c r="K127" s="4">
        <v>52</v>
      </c>
      <c r="L127" s="4">
        <f t="shared" si="36"/>
        <v>156</v>
      </c>
      <c r="M127" s="4">
        <f t="shared" si="37"/>
        <v>39</v>
      </c>
      <c r="N127" s="4">
        <f t="shared" si="38"/>
        <v>51.583333333333336</v>
      </c>
    </row>
    <row r="128" spans="1:15" x14ac:dyDescent="0.3">
      <c r="A128" s="2">
        <v>9</v>
      </c>
      <c r="B128" s="8" t="s">
        <v>120</v>
      </c>
      <c r="C128" s="4">
        <v>65</v>
      </c>
      <c r="D128" s="4">
        <v>71</v>
      </c>
      <c r="E128" s="4">
        <v>77</v>
      </c>
      <c r="F128" s="5"/>
      <c r="G128" s="6">
        <f t="shared" si="33"/>
        <v>213</v>
      </c>
      <c r="H128" s="4">
        <f t="shared" si="34"/>
        <v>71</v>
      </c>
      <c r="I128" s="4">
        <f t="shared" si="35"/>
        <v>17.75</v>
      </c>
      <c r="J128" s="5"/>
      <c r="K128" s="4">
        <v>72</v>
      </c>
      <c r="L128" s="4">
        <f t="shared" si="36"/>
        <v>216</v>
      </c>
      <c r="M128" s="4">
        <f t="shared" si="37"/>
        <v>54</v>
      </c>
      <c r="N128" s="4">
        <f t="shared" si="38"/>
        <v>71.75</v>
      </c>
    </row>
    <row r="129" spans="1:15" x14ac:dyDescent="0.3">
      <c r="A129" s="2">
        <v>10</v>
      </c>
      <c r="B129" s="8" t="s">
        <v>114</v>
      </c>
      <c r="C129" s="4">
        <v>90</v>
      </c>
      <c r="D129" s="4">
        <v>96</v>
      </c>
      <c r="E129" s="4">
        <v>98</v>
      </c>
      <c r="F129" s="5"/>
      <c r="G129" s="6">
        <f t="shared" si="33"/>
        <v>284</v>
      </c>
      <c r="H129" s="4">
        <f t="shared" si="34"/>
        <v>94.666666666666671</v>
      </c>
      <c r="I129" s="4">
        <f t="shared" si="35"/>
        <v>23.666666666666668</v>
      </c>
      <c r="J129" s="5"/>
      <c r="K129" s="4">
        <v>95</v>
      </c>
      <c r="L129" s="4">
        <f t="shared" si="36"/>
        <v>285</v>
      </c>
      <c r="M129" s="4">
        <f t="shared" si="37"/>
        <v>71.25</v>
      </c>
      <c r="N129" s="4">
        <f t="shared" si="38"/>
        <v>94.916666666666671</v>
      </c>
    </row>
    <row r="130" spans="1:15" x14ac:dyDescent="0.3">
      <c r="A130" s="2">
        <v>11</v>
      </c>
      <c r="B130" s="8" t="s">
        <v>122</v>
      </c>
      <c r="C130" s="4">
        <v>69</v>
      </c>
      <c r="D130" s="4">
        <v>72</v>
      </c>
      <c r="E130" s="4">
        <v>78</v>
      </c>
      <c r="F130" s="5"/>
      <c r="G130" s="6">
        <f t="shared" si="33"/>
        <v>219</v>
      </c>
      <c r="H130" s="4">
        <f t="shared" si="34"/>
        <v>73</v>
      </c>
      <c r="I130" s="4">
        <f t="shared" si="35"/>
        <v>18.25</v>
      </c>
      <c r="J130" s="5"/>
      <c r="K130" s="4">
        <v>76</v>
      </c>
      <c r="L130" s="4">
        <f t="shared" si="36"/>
        <v>228</v>
      </c>
      <c r="M130" s="4">
        <f t="shared" si="37"/>
        <v>57</v>
      </c>
      <c r="N130" s="4">
        <f t="shared" si="38"/>
        <v>75.25</v>
      </c>
    </row>
    <row r="131" spans="1:15" x14ac:dyDescent="0.3">
      <c r="A131" s="2">
        <v>12</v>
      </c>
      <c r="B131" s="8" t="s">
        <v>119</v>
      </c>
      <c r="C131" s="4">
        <v>58</v>
      </c>
      <c r="D131" s="4">
        <v>58</v>
      </c>
      <c r="E131" s="4">
        <v>52</v>
      </c>
      <c r="F131" s="5"/>
      <c r="G131" s="6">
        <f t="shared" si="33"/>
        <v>168</v>
      </c>
      <c r="H131" s="4">
        <f t="shared" si="34"/>
        <v>56</v>
      </c>
      <c r="I131" s="4">
        <f t="shared" si="35"/>
        <v>14</v>
      </c>
      <c r="J131" s="5"/>
      <c r="K131" s="4">
        <v>60</v>
      </c>
      <c r="L131" s="4">
        <f t="shared" si="36"/>
        <v>180</v>
      </c>
      <c r="M131" s="4">
        <f t="shared" si="37"/>
        <v>45</v>
      </c>
      <c r="N131" s="4">
        <f t="shared" si="38"/>
        <v>59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110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124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8" t="s">
        <v>112</v>
      </c>
      <c r="C147" s="4">
        <v>71</v>
      </c>
      <c r="D147" s="4">
        <v>62</v>
      </c>
      <c r="E147" s="4">
        <v>55</v>
      </c>
      <c r="F147" s="5"/>
      <c r="G147" s="6">
        <f>SUM(C147:E147)</f>
        <v>188</v>
      </c>
      <c r="H147" s="4">
        <f>AVERAGE(C147:E147)</f>
        <v>62.666666666666664</v>
      </c>
      <c r="I147" s="4">
        <f>G147/12</f>
        <v>15.666666666666666</v>
      </c>
      <c r="J147" s="5"/>
      <c r="K147" s="4">
        <v>62</v>
      </c>
      <c r="L147" s="4">
        <f>K147*3</f>
        <v>186</v>
      </c>
      <c r="M147" s="4">
        <f>L147/4</f>
        <v>46.5</v>
      </c>
      <c r="N147" s="4">
        <f>M147+I147</f>
        <v>62.166666666666664</v>
      </c>
    </row>
    <row r="148" spans="1:14" x14ac:dyDescent="0.3">
      <c r="A148" s="2">
        <v>2</v>
      </c>
      <c r="B148" s="8" t="s">
        <v>116</v>
      </c>
      <c r="C148" s="4">
        <v>69</v>
      </c>
      <c r="D148" s="4">
        <v>72</v>
      </c>
      <c r="E148" s="4">
        <v>62</v>
      </c>
      <c r="F148" s="5"/>
      <c r="G148" s="6">
        <f t="shared" ref="G148:G158" si="39">SUM(C148:E148)</f>
        <v>203</v>
      </c>
      <c r="H148" s="4">
        <f t="shared" ref="H148:H158" si="40">AVERAGE(C148:E148)</f>
        <v>67.666666666666671</v>
      </c>
      <c r="I148" s="4">
        <f t="shared" ref="I148:I158" si="41">G148/12</f>
        <v>16.916666666666668</v>
      </c>
      <c r="J148" s="5"/>
      <c r="K148" s="4">
        <v>58</v>
      </c>
      <c r="L148" s="4">
        <f t="shared" ref="L148:L158" si="42">K148*3</f>
        <v>174</v>
      </c>
      <c r="M148" s="4">
        <f t="shared" ref="M148:M158" si="43">L148/4</f>
        <v>43.5</v>
      </c>
      <c r="N148" s="4">
        <f t="shared" ref="N148:N158" si="44">M148+I148</f>
        <v>60.416666666666671</v>
      </c>
    </row>
    <row r="149" spans="1:14" x14ac:dyDescent="0.3">
      <c r="A149" s="2">
        <v>3</v>
      </c>
      <c r="B149" s="8" t="s">
        <v>115</v>
      </c>
      <c r="C149" s="4">
        <v>58</v>
      </c>
      <c r="D149" s="4">
        <v>54</v>
      </c>
      <c r="E149" s="4">
        <v>72</v>
      </c>
      <c r="F149" s="5"/>
      <c r="G149" s="6">
        <f t="shared" si="39"/>
        <v>184</v>
      </c>
      <c r="H149" s="4">
        <f t="shared" si="40"/>
        <v>61.333333333333336</v>
      </c>
      <c r="I149" s="4">
        <f t="shared" si="41"/>
        <v>15.333333333333334</v>
      </c>
      <c r="J149" s="5"/>
      <c r="K149" s="4">
        <v>59</v>
      </c>
      <c r="L149" s="4">
        <f t="shared" si="42"/>
        <v>177</v>
      </c>
      <c r="M149" s="4">
        <f t="shared" si="43"/>
        <v>44.25</v>
      </c>
      <c r="N149" s="4">
        <f t="shared" si="44"/>
        <v>59.583333333333336</v>
      </c>
    </row>
    <row r="150" spans="1:14" x14ac:dyDescent="0.3">
      <c r="A150" s="2">
        <v>4</v>
      </c>
      <c r="B150" s="8" t="s">
        <v>121</v>
      </c>
      <c r="C150" s="4">
        <v>77</v>
      </c>
      <c r="D150" s="4">
        <v>77</v>
      </c>
      <c r="E150" s="4">
        <v>75</v>
      </c>
      <c r="F150" s="5"/>
      <c r="G150" s="6">
        <f t="shared" si="39"/>
        <v>229</v>
      </c>
      <c r="H150" s="4">
        <f t="shared" si="40"/>
        <v>76.333333333333329</v>
      </c>
      <c r="I150" s="4">
        <f t="shared" si="41"/>
        <v>19.083333333333332</v>
      </c>
      <c r="J150" s="5"/>
      <c r="K150" s="4">
        <v>80</v>
      </c>
      <c r="L150" s="4">
        <f t="shared" si="42"/>
        <v>240</v>
      </c>
      <c r="M150" s="4">
        <f t="shared" si="43"/>
        <v>60</v>
      </c>
      <c r="N150" s="4">
        <f t="shared" si="44"/>
        <v>79.083333333333329</v>
      </c>
    </row>
    <row r="151" spans="1:14" x14ac:dyDescent="0.3">
      <c r="A151" s="2">
        <v>5</v>
      </c>
      <c r="B151" s="8" t="s">
        <v>117</v>
      </c>
      <c r="C151" s="4">
        <v>80</v>
      </c>
      <c r="D151" s="4">
        <v>83</v>
      </c>
      <c r="E151" s="4">
        <v>82</v>
      </c>
      <c r="F151" s="5"/>
      <c r="G151" s="6">
        <f t="shared" si="39"/>
        <v>245</v>
      </c>
      <c r="H151" s="4">
        <f t="shared" si="40"/>
        <v>81.666666666666671</v>
      </c>
      <c r="I151" s="4">
        <f t="shared" si="41"/>
        <v>20.416666666666668</v>
      </c>
      <c r="J151" s="5"/>
      <c r="K151" s="4">
        <v>82</v>
      </c>
      <c r="L151" s="4">
        <f t="shared" si="42"/>
        <v>246</v>
      </c>
      <c r="M151" s="4">
        <f t="shared" si="43"/>
        <v>61.5</v>
      </c>
      <c r="N151" s="4">
        <f t="shared" si="44"/>
        <v>81.916666666666671</v>
      </c>
    </row>
    <row r="152" spans="1:14" x14ac:dyDescent="0.3">
      <c r="A152" s="2">
        <v>6</v>
      </c>
      <c r="B152" s="8" t="s">
        <v>118</v>
      </c>
      <c r="C152" s="4">
        <v>62</v>
      </c>
      <c r="D152" s="4">
        <v>69</v>
      </c>
      <c r="E152" s="4">
        <v>66</v>
      </c>
      <c r="F152" s="5"/>
      <c r="G152" s="6">
        <f t="shared" si="39"/>
        <v>197</v>
      </c>
      <c r="H152" s="4">
        <f t="shared" si="40"/>
        <v>65.666666666666671</v>
      </c>
      <c r="I152" s="4">
        <f t="shared" si="41"/>
        <v>16.416666666666668</v>
      </c>
      <c r="J152" s="5"/>
      <c r="K152" s="4">
        <v>65</v>
      </c>
      <c r="L152" s="4">
        <f t="shared" si="42"/>
        <v>195</v>
      </c>
      <c r="M152" s="4">
        <f t="shared" si="43"/>
        <v>48.75</v>
      </c>
      <c r="N152" s="4">
        <f t="shared" si="44"/>
        <v>65.166666666666671</v>
      </c>
    </row>
    <row r="153" spans="1:14" x14ac:dyDescent="0.3">
      <c r="A153" s="2">
        <v>7</v>
      </c>
      <c r="B153" s="8" t="s">
        <v>113</v>
      </c>
      <c r="C153" s="4">
        <v>77</v>
      </c>
      <c r="D153" s="4">
        <v>80</v>
      </c>
      <c r="E153" s="4">
        <v>82</v>
      </c>
      <c r="F153" s="5"/>
      <c r="G153" s="6">
        <f t="shared" si="39"/>
        <v>239</v>
      </c>
      <c r="H153" s="4">
        <f t="shared" si="40"/>
        <v>79.666666666666671</v>
      </c>
      <c r="I153" s="4">
        <f t="shared" si="41"/>
        <v>19.916666666666668</v>
      </c>
      <c r="J153" s="5"/>
      <c r="K153" s="4">
        <v>81</v>
      </c>
      <c r="L153" s="4">
        <f t="shared" si="42"/>
        <v>243</v>
      </c>
      <c r="M153" s="4">
        <f t="shared" si="43"/>
        <v>60.75</v>
      </c>
      <c r="N153" s="4">
        <f t="shared" si="44"/>
        <v>80.666666666666671</v>
      </c>
    </row>
    <row r="154" spans="1:14" x14ac:dyDescent="0.3">
      <c r="A154" s="2">
        <v>8</v>
      </c>
      <c r="B154" s="8" t="s">
        <v>111</v>
      </c>
      <c r="C154" s="4">
        <v>69</v>
      </c>
      <c r="D154" s="4">
        <v>71</v>
      </c>
      <c r="E154" s="4">
        <v>65</v>
      </c>
      <c r="F154" s="5"/>
      <c r="G154" s="6">
        <f t="shared" si="39"/>
        <v>205</v>
      </c>
      <c r="H154" s="4">
        <f t="shared" si="40"/>
        <v>68.333333333333329</v>
      </c>
      <c r="I154" s="4">
        <f t="shared" si="41"/>
        <v>17.083333333333332</v>
      </c>
      <c r="J154" s="5"/>
      <c r="K154" s="4">
        <v>55</v>
      </c>
      <c r="L154" s="4">
        <f t="shared" si="42"/>
        <v>165</v>
      </c>
      <c r="M154" s="4">
        <f t="shared" si="43"/>
        <v>41.25</v>
      </c>
      <c r="N154" s="4">
        <f t="shared" si="44"/>
        <v>58.333333333333329</v>
      </c>
    </row>
    <row r="155" spans="1:14" x14ac:dyDescent="0.3">
      <c r="A155" s="2">
        <v>9</v>
      </c>
      <c r="B155" s="8" t="s">
        <v>120</v>
      </c>
      <c r="C155" s="4">
        <v>54</v>
      </c>
      <c r="D155" s="4">
        <v>55</v>
      </c>
      <c r="E155" s="4">
        <v>70</v>
      </c>
      <c r="F155" s="5"/>
      <c r="G155" s="6">
        <f t="shared" si="39"/>
        <v>179</v>
      </c>
      <c r="H155" s="4">
        <f t="shared" si="40"/>
        <v>59.666666666666664</v>
      </c>
      <c r="I155" s="4">
        <f t="shared" si="41"/>
        <v>14.916666666666666</v>
      </c>
      <c r="J155" s="5"/>
      <c r="K155" s="4">
        <v>65</v>
      </c>
      <c r="L155" s="4">
        <f t="shared" si="42"/>
        <v>195</v>
      </c>
      <c r="M155" s="4">
        <f t="shared" si="43"/>
        <v>48.75</v>
      </c>
      <c r="N155" s="4">
        <f t="shared" si="44"/>
        <v>63.666666666666664</v>
      </c>
    </row>
    <row r="156" spans="1:14" x14ac:dyDescent="0.3">
      <c r="A156" s="2">
        <v>10</v>
      </c>
      <c r="B156" s="8" t="s">
        <v>114</v>
      </c>
      <c r="C156" s="4">
        <v>89</v>
      </c>
      <c r="D156" s="4">
        <v>92</v>
      </c>
      <c r="E156" s="4">
        <v>93</v>
      </c>
      <c r="F156" s="5"/>
      <c r="G156" s="6">
        <f t="shared" si="39"/>
        <v>274</v>
      </c>
      <c r="H156" s="4">
        <f t="shared" si="40"/>
        <v>91.333333333333329</v>
      </c>
      <c r="I156" s="4">
        <f t="shared" si="41"/>
        <v>22.833333333333332</v>
      </c>
      <c r="J156" s="5"/>
      <c r="K156" s="4">
        <v>92</v>
      </c>
      <c r="L156" s="4">
        <f t="shared" si="42"/>
        <v>276</v>
      </c>
      <c r="M156" s="4">
        <f t="shared" si="43"/>
        <v>69</v>
      </c>
      <c r="N156" s="4">
        <f t="shared" si="44"/>
        <v>91.833333333333329</v>
      </c>
    </row>
    <row r="157" spans="1:14" x14ac:dyDescent="0.3">
      <c r="A157" s="2">
        <v>11</v>
      </c>
      <c r="B157" s="8" t="s">
        <v>122</v>
      </c>
      <c r="C157" s="4">
        <v>70</v>
      </c>
      <c r="D157" s="4">
        <v>69</v>
      </c>
      <c r="E157" s="4">
        <v>69</v>
      </c>
      <c r="F157" s="5"/>
      <c r="G157" s="6">
        <f t="shared" si="39"/>
        <v>208</v>
      </c>
      <c r="H157" s="4">
        <f t="shared" si="40"/>
        <v>69.333333333333329</v>
      </c>
      <c r="I157" s="4">
        <f t="shared" si="41"/>
        <v>17.333333333333332</v>
      </c>
      <c r="J157" s="5"/>
      <c r="K157" s="4">
        <v>72</v>
      </c>
      <c r="L157" s="4">
        <f t="shared" si="42"/>
        <v>216</v>
      </c>
      <c r="M157" s="4">
        <f t="shared" si="43"/>
        <v>54</v>
      </c>
      <c r="N157" s="4">
        <f t="shared" si="44"/>
        <v>71.333333333333329</v>
      </c>
    </row>
    <row r="158" spans="1:14" x14ac:dyDescent="0.3">
      <c r="A158" s="2">
        <v>12</v>
      </c>
      <c r="B158" s="8" t="s">
        <v>119</v>
      </c>
      <c r="C158" s="4">
        <v>66</v>
      </c>
      <c r="D158" s="4">
        <v>70</v>
      </c>
      <c r="E158" s="4">
        <v>72</v>
      </c>
      <c r="F158" s="5"/>
      <c r="G158" s="6">
        <f t="shared" si="39"/>
        <v>208</v>
      </c>
      <c r="H158" s="4">
        <f t="shared" si="40"/>
        <v>69.333333333333329</v>
      </c>
      <c r="I158" s="4">
        <f t="shared" si="41"/>
        <v>17.333333333333332</v>
      </c>
      <c r="J158" s="5"/>
      <c r="K158" s="4">
        <v>71</v>
      </c>
      <c r="L158" s="4">
        <f t="shared" si="42"/>
        <v>213</v>
      </c>
      <c r="M158" s="4">
        <f t="shared" si="43"/>
        <v>53.25</v>
      </c>
      <c r="N158" s="4">
        <f t="shared" si="44"/>
        <v>70.583333333333329</v>
      </c>
    </row>
    <row r="163" spans="1:15" x14ac:dyDescent="0.3">
      <c r="A163" s="63" t="s">
        <v>1</v>
      </c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1:15" x14ac:dyDescent="0.3">
      <c r="A164" s="63" t="s">
        <v>110</v>
      </c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1:15" x14ac:dyDescent="0.3">
      <c r="B165" s="64" t="s">
        <v>47</v>
      </c>
      <c r="C165" s="64"/>
      <c r="D165" s="64"/>
    </row>
    <row r="166" spans="1:15" x14ac:dyDescent="0.3">
      <c r="C166" s="1" t="s">
        <v>4</v>
      </c>
      <c r="D166" s="1" t="s">
        <v>5</v>
      </c>
      <c r="E166" s="1" t="s">
        <v>6</v>
      </c>
      <c r="F166" s="1"/>
      <c r="G166" s="1" t="s">
        <v>7</v>
      </c>
      <c r="H166" s="1" t="s">
        <v>8</v>
      </c>
      <c r="I166" s="3">
        <v>0.25</v>
      </c>
      <c r="J166" s="1"/>
      <c r="K166" s="1" t="s">
        <v>9</v>
      </c>
      <c r="L166" s="1"/>
      <c r="M166" s="3">
        <v>0.75</v>
      </c>
      <c r="N166" s="1" t="s">
        <v>10</v>
      </c>
    </row>
    <row r="167" spans="1:15" x14ac:dyDescent="0.3">
      <c r="A167" s="2">
        <v>1</v>
      </c>
      <c r="B167" s="8" t="s">
        <v>112</v>
      </c>
      <c r="C167" s="4">
        <v>62</v>
      </c>
      <c r="D167" s="4">
        <v>58</v>
      </c>
      <c r="E167" s="4">
        <v>59</v>
      </c>
      <c r="F167" s="5"/>
      <c r="G167" s="6">
        <f>SUM(C167:E167)</f>
        <v>179</v>
      </c>
      <c r="H167" s="4">
        <f>AVERAGE(C167:E167)</f>
        <v>59.666666666666664</v>
      </c>
      <c r="I167" s="4">
        <f>G167/12</f>
        <v>14.916666666666666</v>
      </c>
      <c r="J167" s="5"/>
      <c r="K167" s="4">
        <v>61</v>
      </c>
      <c r="L167" s="4">
        <f>K167*3</f>
        <v>183</v>
      </c>
      <c r="M167" s="4">
        <f>L167/4</f>
        <v>45.75</v>
      </c>
      <c r="N167" s="4">
        <f>M167+I167</f>
        <v>60.666666666666664</v>
      </c>
    </row>
    <row r="168" spans="1:15" x14ac:dyDescent="0.3">
      <c r="A168" s="2">
        <v>2</v>
      </c>
      <c r="B168" s="8" t="s">
        <v>116</v>
      </c>
      <c r="C168" s="4">
        <v>58</v>
      </c>
      <c r="D168" s="4">
        <v>45</v>
      </c>
      <c r="E168" s="4">
        <v>54</v>
      </c>
      <c r="F168" s="5"/>
      <c r="G168" s="6">
        <f t="shared" ref="G168:G178" si="45">SUM(C168:E168)</f>
        <v>157</v>
      </c>
      <c r="H168" s="4">
        <f t="shared" ref="H168:H178" si="46">AVERAGE(C168:E168)</f>
        <v>52.333333333333336</v>
      </c>
      <c r="I168" s="4">
        <f t="shared" ref="I168:I178" si="47">G168/12</f>
        <v>13.083333333333334</v>
      </c>
      <c r="J168" s="5"/>
      <c r="K168" s="4">
        <v>52</v>
      </c>
      <c r="L168" s="4">
        <f t="shared" ref="L168:L178" si="48">K168*3</f>
        <v>156</v>
      </c>
      <c r="M168" s="4">
        <f t="shared" ref="M168:M178" si="49">L168/4</f>
        <v>39</v>
      </c>
      <c r="N168" s="4">
        <f t="shared" ref="N168:N178" si="50">M168+I168</f>
        <v>52.083333333333336</v>
      </c>
    </row>
    <row r="169" spans="1:15" x14ac:dyDescent="0.3">
      <c r="A169" s="2">
        <v>3</v>
      </c>
      <c r="B169" s="8" t="s">
        <v>115</v>
      </c>
      <c r="C169" s="4">
        <v>52</v>
      </c>
      <c r="D169" s="4">
        <v>52</v>
      </c>
      <c r="E169" s="4">
        <v>56</v>
      </c>
      <c r="F169" s="5"/>
      <c r="G169" s="6">
        <f t="shared" si="45"/>
        <v>160</v>
      </c>
      <c r="H169" s="4">
        <f t="shared" si="46"/>
        <v>53.333333333333336</v>
      </c>
      <c r="I169" s="4">
        <f t="shared" si="47"/>
        <v>13.333333333333334</v>
      </c>
      <c r="J169" s="5"/>
      <c r="K169" s="4">
        <v>57</v>
      </c>
      <c r="L169" s="4">
        <f t="shared" si="48"/>
        <v>171</v>
      </c>
      <c r="M169" s="4">
        <f t="shared" si="49"/>
        <v>42.75</v>
      </c>
      <c r="N169" s="4">
        <f t="shared" si="50"/>
        <v>56.083333333333336</v>
      </c>
    </row>
    <row r="170" spans="1:15" x14ac:dyDescent="0.3">
      <c r="A170" s="2">
        <v>4</v>
      </c>
      <c r="B170" s="8" t="s">
        <v>121</v>
      </c>
      <c r="C170" s="4">
        <v>39</v>
      </c>
      <c r="D170" s="4">
        <v>38</v>
      </c>
      <c r="E170" s="4">
        <v>62</v>
      </c>
      <c r="F170" s="5"/>
      <c r="G170" s="6">
        <f t="shared" si="45"/>
        <v>139</v>
      </c>
      <c r="H170" s="4">
        <f t="shared" si="46"/>
        <v>46.333333333333336</v>
      </c>
      <c r="I170" s="4">
        <f t="shared" si="47"/>
        <v>11.583333333333334</v>
      </c>
      <c r="J170" s="5"/>
      <c r="K170" s="4">
        <v>48</v>
      </c>
      <c r="L170" s="4">
        <f t="shared" si="48"/>
        <v>144</v>
      </c>
      <c r="M170" s="4">
        <f t="shared" si="49"/>
        <v>36</v>
      </c>
      <c r="N170" s="4">
        <f t="shared" si="50"/>
        <v>47.583333333333336</v>
      </c>
    </row>
    <row r="171" spans="1:15" x14ac:dyDescent="0.3">
      <c r="A171" s="2">
        <v>5</v>
      </c>
      <c r="B171" s="8" t="s">
        <v>117</v>
      </c>
      <c r="C171" s="4">
        <v>81</v>
      </c>
      <c r="D171" s="4">
        <v>71</v>
      </c>
      <c r="E171" s="4">
        <v>69</v>
      </c>
      <c r="F171" s="5"/>
      <c r="G171" s="6">
        <f t="shared" si="45"/>
        <v>221</v>
      </c>
      <c r="H171" s="4">
        <f t="shared" si="46"/>
        <v>73.666666666666671</v>
      </c>
      <c r="I171" s="4">
        <f t="shared" si="47"/>
        <v>18.416666666666668</v>
      </c>
      <c r="J171" s="5"/>
      <c r="K171" s="4">
        <v>75</v>
      </c>
      <c r="L171" s="4">
        <f t="shared" si="48"/>
        <v>225</v>
      </c>
      <c r="M171" s="4">
        <f t="shared" si="49"/>
        <v>56.25</v>
      </c>
      <c r="N171" s="4">
        <f t="shared" si="50"/>
        <v>74.666666666666671</v>
      </c>
    </row>
    <row r="172" spans="1:15" x14ac:dyDescent="0.3">
      <c r="A172" s="2">
        <v>6</v>
      </c>
      <c r="B172" s="8" t="s">
        <v>118</v>
      </c>
      <c r="C172" s="4">
        <v>65</v>
      </c>
      <c r="D172" s="4">
        <v>65</v>
      </c>
      <c r="E172" s="4">
        <v>58</v>
      </c>
      <c r="F172" s="5"/>
      <c r="G172" s="6">
        <f t="shared" si="45"/>
        <v>188</v>
      </c>
      <c r="H172" s="4">
        <f t="shared" si="46"/>
        <v>62.666666666666664</v>
      </c>
      <c r="I172" s="4">
        <f t="shared" si="47"/>
        <v>15.666666666666666</v>
      </c>
      <c r="J172" s="5"/>
      <c r="K172" s="4">
        <v>63</v>
      </c>
      <c r="L172" s="4">
        <f t="shared" si="48"/>
        <v>189</v>
      </c>
      <c r="M172" s="4">
        <f t="shared" si="49"/>
        <v>47.25</v>
      </c>
      <c r="N172" s="4">
        <f t="shared" si="50"/>
        <v>62.916666666666664</v>
      </c>
    </row>
    <row r="173" spans="1:15" x14ac:dyDescent="0.3">
      <c r="A173" s="2">
        <v>7</v>
      </c>
      <c r="B173" s="8" t="s">
        <v>113</v>
      </c>
      <c r="C173" s="4">
        <v>77</v>
      </c>
      <c r="D173" s="4">
        <v>79</v>
      </c>
      <c r="E173" s="4">
        <v>82</v>
      </c>
      <c r="F173" s="5"/>
      <c r="G173" s="6">
        <f t="shared" si="45"/>
        <v>238</v>
      </c>
      <c r="H173" s="4">
        <f t="shared" si="46"/>
        <v>79.333333333333329</v>
      </c>
      <c r="I173" s="4">
        <f t="shared" si="47"/>
        <v>19.833333333333332</v>
      </c>
      <c r="J173" s="5"/>
      <c r="K173" s="4">
        <v>81</v>
      </c>
      <c r="L173" s="4">
        <f t="shared" si="48"/>
        <v>243</v>
      </c>
      <c r="M173" s="4">
        <f t="shared" si="49"/>
        <v>60.75</v>
      </c>
      <c r="N173" s="4">
        <f t="shared" si="50"/>
        <v>80.583333333333329</v>
      </c>
    </row>
    <row r="174" spans="1:15" x14ac:dyDescent="0.3">
      <c r="A174" s="2">
        <v>8</v>
      </c>
      <c r="B174" s="8" t="s">
        <v>111</v>
      </c>
      <c r="C174" s="4">
        <v>65</v>
      </c>
      <c r="D174" s="4">
        <v>70</v>
      </c>
      <c r="E174" s="4">
        <v>66</v>
      </c>
      <c r="F174" s="5"/>
      <c r="G174" s="6">
        <f t="shared" si="45"/>
        <v>201</v>
      </c>
      <c r="H174" s="4">
        <f t="shared" si="46"/>
        <v>67</v>
      </c>
      <c r="I174" s="4">
        <f t="shared" si="47"/>
        <v>16.75</v>
      </c>
      <c r="J174" s="5"/>
      <c r="K174" s="4">
        <v>65</v>
      </c>
      <c r="L174" s="4">
        <f t="shared" si="48"/>
        <v>195</v>
      </c>
      <c r="M174" s="4">
        <f t="shared" si="49"/>
        <v>48.75</v>
      </c>
      <c r="N174" s="4">
        <f t="shared" si="50"/>
        <v>65.5</v>
      </c>
    </row>
    <row r="175" spans="1:15" x14ac:dyDescent="0.3">
      <c r="A175" s="2">
        <v>9</v>
      </c>
      <c r="B175" s="8" t="s">
        <v>120</v>
      </c>
      <c r="C175" s="4">
        <v>52</v>
      </c>
      <c r="D175" s="4">
        <v>54</v>
      </c>
      <c r="E175" s="4">
        <v>58</v>
      </c>
      <c r="F175" s="5"/>
      <c r="G175" s="6">
        <f t="shared" si="45"/>
        <v>164</v>
      </c>
      <c r="H175" s="4">
        <f t="shared" si="46"/>
        <v>54.666666666666664</v>
      </c>
      <c r="I175" s="4">
        <f t="shared" si="47"/>
        <v>13.666666666666666</v>
      </c>
      <c r="J175" s="5"/>
      <c r="K175" s="4">
        <v>55</v>
      </c>
      <c r="L175" s="4">
        <f t="shared" si="48"/>
        <v>165</v>
      </c>
      <c r="M175" s="4">
        <f t="shared" si="49"/>
        <v>41.25</v>
      </c>
      <c r="N175" s="4">
        <f t="shared" si="50"/>
        <v>54.916666666666664</v>
      </c>
    </row>
    <row r="176" spans="1:15" x14ac:dyDescent="0.3">
      <c r="A176" s="2">
        <v>10</v>
      </c>
      <c r="B176" s="8" t="s">
        <v>114</v>
      </c>
      <c r="C176" s="4">
        <v>91</v>
      </c>
      <c r="D176" s="4">
        <v>91</v>
      </c>
      <c r="E176" s="4">
        <v>96</v>
      </c>
      <c r="F176" s="5"/>
      <c r="G176" s="6">
        <f t="shared" si="45"/>
        <v>278</v>
      </c>
      <c r="H176" s="4">
        <f t="shared" si="46"/>
        <v>92.666666666666671</v>
      </c>
      <c r="I176" s="4">
        <f t="shared" si="47"/>
        <v>23.166666666666668</v>
      </c>
      <c r="J176" s="5"/>
      <c r="K176" s="4">
        <v>94</v>
      </c>
      <c r="L176" s="4">
        <f t="shared" si="48"/>
        <v>282</v>
      </c>
      <c r="M176" s="4">
        <f t="shared" si="49"/>
        <v>70.5</v>
      </c>
      <c r="N176" s="4">
        <f t="shared" si="50"/>
        <v>93.666666666666671</v>
      </c>
    </row>
    <row r="177" spans="1:14" x14ac:dyDescent="0.3">
      <c r="A177" s="2">
        <v>11</v>
      </c>
      <c r="B177" s="8" t="s">
        <v>122</v>
      </c>
      <c r="C177" s="4">
        <v>66</v>
      </c>
      <c r="D177" s="4">
        <v>65</v>
      </c>
      <c r="E177" s="4">
        <v>54</v>
      </c>
      <c r="F177" s="5"/>
      <c r="G177" s="6">
        <f t="shared" si="45"/>
        <v>185</v>
      </c>
      <c r="H177" s="4">
        <f t="shared" si="46"/>
        <v>61.666666666666664</v>
      </c>
      <c r="I177" s="4">
        <f t="shared" si="47"/>
        <v>15.416666666666666</v>
      </c>
      <c r="J177" s="5"/>
      <c r="K177" s="4">
        <v>56</v>
      </c>
      <c r="L177" s="4">
        <f t="shared" si="48"/>
        <v>168</v>
      </c>
      <c r="M177" s="4">
        <f t="shared" si="49"/>
        <v>42</v>
      </c>
      <c r="N177" s="4">
        <f t="shared" si="50"/>
        <v>57.416666666666664</v>
      </c>
    </row>
    <row r="178" spans="1:14" x14ac:dyDescent="0.3">
      <c r="A178" s="2">
        <v>12</v>
      </c>
      <c r="B178" s="8" t="s">
        <v>119</v>
      </c>
      <c r="C178" s="4">
        <v>71</v>
      </c>
      <c r="D178" s="4">
        <v>71</v>
      </c>
      <c r="E178" s="4">
        <v>72</v>
      </c>
      <c r="F178" s="5"/>
      <c r="G178" s="6">
        <f t="shared" si="45"/>
        <v>214</v>
      </c>
      <c r="H178" s="4">
        <f t="shared" si="46"/>
        <v>71.333333333333329</v>
      </c>
      <c r="I178" s="4">
        <f t="shared" si="47"/>
        <v>17.833333333333332</v>
      </c>
      <c r="J178" s="5"/>
      <c r="K178" s="4">
        <v>73</v>
      </c>
      <c r="L178" s="4">
        <f t="shared" si="48"/>
        <v>219</v>
      </c>
      <c r="M178" s="4">
        <f t="shared" si="49"/>
        <v>54.75</v>
      </c>
      <c r="N178" s="4">
        <f t="shared" si="50"/>
        <v>72.583333333333329</v>
      </c>
    </row>
  </sheetData>
  <sortState ref="B6:B17">
    <sortCondition ref="B6"/>
  </sortState>
  <mergeCells count="28">
    <mergeCell ref="B165:D165"/>
    <mergeCell ref="A142:O142"/>
    <mergeCell ref="A143:O143"/>
    <mergeCell ref="A144:O144"/>
    <mergeCell ref="B145:D145"/>
    <mergeCell ref="A163:O163"/>
    <mergeCell ref="A164:O164"/>
    <mergeCell ref="A116:O116"/>
    <mergeCell ref="A117:O117"/>
    <mergeCell ref="B118:D118"/>
    <mergeCell ref="A95:O95"/>
    <mergeCell ref="A96:O96"/>
    <mergeCell ref="A97:O97"/>
    <mergeCell ref="B98:D98"/>
    <mergeCell ref="A69:O69"/>
    <mergeCell ref="A70:O70"/>
    <mergeCell ref="B71:D71"/>
    <mergeCell ref="A48:O48"/>
    <mergeCell ref="A49:O49"/>
    <mergeCell ref="A50:O50"/>
    <mergeCell ref="B51:D51"/>
    <mergeCell ref="A22:O22"/>
    <mergeCell ref="A23:O23"/>
    <mergeCell ref="B24:D24"/>
    <mergeCell ref="A1:O1"/>
    <mergeCell ref="A2:O2"/>
    <mergeCell ref="A3:O3"/>
    <mergeCell ref="B4:D4"/>
  </mergeCells>
  <printOptions gridLine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106"/>
  <sheetViews>
    <sheetView topLeftCell="A93" workbookViewId="0">
      <selection activeCell="K100" sqref="K100:K106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132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7" t="s">
        <v>135</v>
      </c>
      <c r="C6" s="4">
        <v>40</v>
      </c>
      <c r="D6" s="4">
        <v>32</v>
      </c>
      <c r="E6" s="4">
        <v>35</v>
      </c>
      <c r="F6" s="5"/>
      <c r="G6" s="6">
        <f>SUM(C6:E6)</f>
        <v>107</v>
      </c>
      <c r="H6" s="4">
        <f>AVERAGE(C6:E6)</f>
        <v>35.666666666666664</v>
      </c>
      <c r="I6" s="4">
        <f>G6/12</f>
        <v>8.9166666666666661</v>
      </c>
      <c r="J6" s="5"/>
      <c r="K6" s="4">
        <v>33</v>
      </c>
      <c r="L6" s="4">
        <f>K6*3</f>
        <v>99</v>
      </c>
      <c r="M6" s="4">
        <f>L6/4</f>
        <v>24.75</v>
      </c>
      <c r="N6" s="4">
        <f>M6+I6</f>
        <v>33.666666666666664</v>
      </c>
    </row>
    <row r="7" spans="1:15" x14ac:dyDescent="0.3">
      <c r="A7" s="2">
        <v>2</v>
      </c>
      <c r="B7" s="7" t="s">
        <v>137</v>
      </c>
      <c r="C7" s="4">
        <v>40</v>
      </c>
      <c r="D7" s="4">
        <v>38</v>
      </c>
      <c r="E7" s="4">
        <v>35</v>
      </c>
      <c r="F7" s="5"/>
      <c r="G7" s="6">
        <f t="shared" ref="G7:G12" si="0">SUM(C7:E7)</f>
        <v>113</v>
      </c>
      <c r="H7" s="4">
        <f t="shared" ref="H7:H12" si="1">AVERAGE(C7:E7)</f>
        <v>37.666666666666664</v>
      </c>
      <c r="I7" s="4">
        <f t="shared" ref="I7:I12" si="2">G7/12</f>
        <v>9.4166666666666661</v>
      </c>
      <c r="J7" s="5"/>
      <c r="K7" s="4">
        <v>34</v>
      </c>
      <c r="L7" s="4">
        <f t="shared" ref="L7:L12" si="3">K7*3</f>
        <v>102</v>
      </c>
      <c r="M7" s="4">
        <f t="shared" ref="M7:M12" si="4">L7/4</f>
        <v>25.5</v>
      </c>
      <c r="N7" s="4">
        <f t="shared" ref="N7:N12" si="5">M7+I7</f>
        <v>34.916666666666664</v>
      </c>
    </row>
    <row r="8" spans="1:15" x14ac:dyDescent="0.3">
      <c r="A8" s="2">
        <v>3</v>
      </c>
      <c r="B8" s="7" t="s">
        <v>133</v>
      </c>
      <c r="C8" s="4">
        <v>38</v>
      </c>
      <c r="D8" s="4">
        <v>41</v>
      </c>
      <c r="E8" s="4">
        <v>38</v>
      </c>
      <c r="F8" s="5"/>
      <c r="G8" s="6">
        <f t="shared" si="0"/>
        <v>117</v>
      </c>
      <c r="H8" s="4">
        <f t="shared" si="1"/>
        <v>39</v>
      </c>
      <c r="I8" s="4">
        <f t="shared" si="2"/>
        <v>9.75</v>
      </c>
      <c r="J8" s="5"/>
      <c r="K8" s="4">
        <v>39</v>
      </c>
      <c r="L8" s="4">
        <f t="shared" si="3"/>
        <v>117</v>
      </c>
      <c r="M8" s="4">
        <f t="shared" si="4"/>
        <v>29.25</v>
      </c>
      <c r="N8" s="4">
        <f t="shared" si="5"/>
        <v>39</v>
      </c>
    </row>
    <row r="9" spans="1:15" x14ac:dyDescent="0.3">
      <c r="A9" s="2">
        <v>4</v>
      </c>
      <c r="B9" s="7" t="s">
        <v>138</v>
      </c>
      <c r="C9" s="4">
        <v>55</v>
      </c>
      <c r="D9" s="4">
        <v>58</v>
      </c>
      <c r="E9" s="4">
        <v>62</v>
      </c>
      <c r="F9" s="5"/>
      <c r="G9" s="6">
        <f t="shared" si="0"/>
        <v>175</v>
      </c>
      <c r="H9" s="4">
        <f t="shared" si="1"/>
        <v>58.333333333333336</v>
      </c>
      <c r="I9" s="4">
        <f t="shared" si="2"/>
        <v>14.583333333333334</v>
      </c>
      <c r="J9" s="5"/>
      <c r="K9" s="4">
        <v>55</v>
      </c>
      <c r="L9" s="4">
        <f t="shared" si="3"/>
        <v>165</v>
      </c>
      <c r="M9" s="4">
        <f t="shared" si="4"/>
        <v>41.25</v>
      </c>
      <c r="N9" s="4">
        <f t="shared" si="5"/>
        <v>55.833333333333336</v>
      </c>
    </row>
    <row r="10" spans="1:15" x14ac:dyDescent="0.3">
      <c r="A10" s="2">
        <v>5</v>
      </c>
      <c r="B10" s="7" t="s">
        <v>139</v>
      </c>
      <c r="C10" s="4">
        <v>41</v>
      </c>
      <c r="D10" s="4">
        <v>39</v>
      </c>
      <c r="E10" s="4">
        <v>47</v>
      </c>
      <c r="F10" s="5"/>
      <c r="G10" s="6">
        <f t="shared" si="0"/>
        <v>127</v>
      </c>
      <c r="H10" s="4">
        <f t="shared" si="1"/>
        <v>42.333333333333336</v>
      </c>
      <c r="I10" s="4">
        <f t="shared" si="2"/>
        <v>10.583333333333334</v>
      </c>
      <c r="J10" s="5"/>
      <c r="K10" s="4">
        <v>40</v>
      </c>
      <c r="L10" s="4">
        <f t="shared" si="3"/>
        <v>120</v>
      </c>
      <c r="M10" s="4">
        <f t="shared" si="4"/>
        <v>30</v>
      </c>
      <c r="N10" s="4">
        <f t="shared" si="5"/>
        <v>40.583333333333336</v>
      </c>
    </row>
    <row r="11" spans="1:15" x14ac:dyDescent="0.3">
      <c r="A11" s="2">
        <v>6</v>
      </c>
      <c r="B11" s="7" t="s">
        <v>134</v>
      </c>
      <c r="C11" s="4">
        <v>38</v>
      </c>
      <c r="D11" s="4">
        <v>42</v>
      </c>
      <c r="E11" s="4">
        <v>45</v>
      </c>
      <c r="F11" s="5"/>
      <c r="G11" s="6">
        <f t="shared" si="0"/>
        <v>125</v>
      </c>
      <c r="H11" s="4">
        <f t="shared" si="1"/>
        <v>41.666666666666664</v>
      </c>
      <c r="I11" s="4">
        <f t="shared" si="2"/>
        <v>10.416666666666666</v>
      </c>
      <c r="J11" s="5"/>
      <c r="K11" s="4">
        <v>42</v>
      </c>
      <c r="L11" s="4">
        <f t="shared" si="3"/>
        <v>126</v>
      </c>
      <c r="M11" s="4">
        <f t="shared" si="4"/>
        <v>31.5</v>
      </c>
      <c r="N11" s="4">
        <f t="shared" si="5"/>
        <v>41.916666666666664</v>
      </c>
    </row>
    <row r="12" spans="1:15" x14ac:dyDescent="0.3">
      <c r="A12" s="2">
        <v>7</v>
      </c>
      <c r="B12" s="7" t="s">
        <v>136</v>
      </c>
      <c r="C12" s="4">
        <v>42</v>
      </c>
      <c r="D12" s="4">
        <v>40</v>
      </c>
      <c r="E12" s="4">
        <v>42</v>
      </c>
      <c r="F12" s="5"/>
      <c r="G12" s="6">
        <f t="shared" si="0"/>
        <v>124</v>
      </c>
      <c r="H12" s="4">
        <f t="shared" si="1"/>
        <v>41.333333333333336</v>
      </c>
      <c r="I12" s="4">
        <f t="shared" si="2"/>
        <v>10.333333333333334</v>
      </c>
      <c r="J12" s="5"/>
      <c r="K12" s="4">
        <v>59</v>
      </c>
      <c r="L12" s="4">
        <f t="shared" si="3"/>
        <v>177</v>
      </c>
      <c r="M12" s="4">
        <f t="shared" si="4"/>
        <v>44.25</v>
      </c>
      <c r="N12" s="4">
        <f t="shared" si="5"/>
        <v>54.583333333333336</v>
      </c>
    </row>
    <row r="16" spans="1:15" x14ac:dyDescent="0.3">
      <c r="A16" s="63" t="s">
        <v>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 spans="1:15" x14ac:dyDescent="0.3">
      <c r="A17" s="63" t="s">
        <v>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 spans="1:15" x14ac:dyDescent="0.3">
      <c r="A18" s="63" t="s">
        <v>132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</row>
    <row r="19" spans="1:15" x14ac:dyDescent="0.3">
      <c r="B19" s="64" t="s">
        <v>44</v>
      </c>
      <c r="C19" s="64"/>
      <c r="D19" s="64"/>
    </row>
    <row r="20" spans="1:15" x14ac:dyDescent="0.3">
      <c r="C20" s="1" t="s">
        <v>4</v>
      </c>
      <c r="D20" s="1" t="s">
        <v>5</v>
      </c>
      <c r="E20" s="1" t="s">
        <v>6</v>
      </c>
      <c r="F20" s="1"/>
      <c r="G20" s="1" t="s">
        <v>7</v>
      </c>
      <c r="H20" s="1" t="s">
        <v>8</v>
      </c>
      <c r="I20" s="3">
        <v>0.25</v>
      </c>
      <c r="J20" s="1"/>
      <c r="K20" s="1" t="s">
        <v>9</v>
      </c>
      <c r="L20" s="1"/>
      <c r="M20" s="3">
        <v>0.75</v>
      </c>
      <c r="N20" s="1" t="s">
        <v>10</v>
      </c>
    </row>
    <row r="21" spans="1:15" x14ac:dyDescent="0.3">
      <c r="A21" s="2">
        <v>1</v>
      </c>
      <c r="B21" s="7" t="s">
        <v>135</v>
      </c>
      <c r="C21" s="4">
        <v>71</v>
      </c>
      <c r="D21" s="4">
        <v>75</v>
      </c>
      <c r="E21" s="4">
        <v>77</v>
      </c>
      <c r="F21" s="5"/>
      <c r="G21" s="6">
        <f>SUM(C21:E21)</f>
        <v>223</v>
      </c>
      <c r="H21" s="4">
        <f>AVERAGE(C21:E21)</f>
        <v>74.333333333333329</v>
      </c>
      <c r="I21" s="4">
        <f>G21/12</f>
        <v>18.583333333333332</v>
      </c>
      <c r="J21" s="5"/>
      <c r="K21" s="4"/>
      <c r="L21" s="4">
        <f>K21*3</f>
        <v>0</v>
      </c>
      <c r="M21" s="4">
        <f>L21/4</f>
        <v>0</v>
      </c>
      <c r="N21" s="4">
        <f>M21+I21</f>
        <v>18.583333333333332</v>
      </c>
    </row>
    <row r="22" spans="1:15" x14ac:dyDescent="0.3">
      <c r="A22" s="2">
        <v>2</v>
      </c>
      <c r="B22" s="7" t="s">
        <v>137</v>
      </c>
      <c r="C22" s="4">
        <v>76</v>
      </c>
      <c r="D22" s="4">
        <v>69</v>
      </c>
      <c r="E22" s="4">
        <v>65</v>
      </c>
      <c r="F22" s="5"/>
      <c r="G22" s="6">
        <f t="shared" ref="G22:G27" si="6">SUM(C22:E22)</f>
        <v>210</v>
      </c>
      <c r="H22" s="4">
        <f t="shared" ref="H22:H27" si="7">AVERAGE(C22:E22)</f>
        <v>70</v>
      </c>
      <c r="I22" s="4">
        <f t="shared" ref="I22:I27" si="8">G22/12</f>
        <v>17.5</v>
      </c>
      <c r="J22" s="5"/>
      <c r="K22" s="4"/>
      <c r="L22" s="4">
        <f t="shared" ref="L22:L27" si="9">K22*3</f>
        <v>0</v>
      </c>
      <c r="M22" s="4">
        <f t="shared" ref="M22:M27" si="10">L22/4</f>
        <v>0</v>
      </c>
      <c r="N22" s="4">
        <f t="shared" ref="N22:N27" si="11">M22+I22</f>
        <v>17.5</v>
      </c>
    </row>
    <row r="23" spans="1:15" x14ac:dyDescent="0.3">
      <c r="A23" s="2">
        <v>3</v>
      </c>
      <c r="B23" s="7" t="s">
        <v>133</v>
      </c>
      <c r="C23" s="4">
        <v>77</v>
      </c>
      <c r="D23" s="4">
        <v>65</v>
      </c>
      <c r="E23" s="4">
        <v>69</v>
      </c>
      <c r="F23" s="5"/>
      <c r="G23" s="6">
        <f t="shared" si="6"/>
        <v>211</v>
      </c>
      <c r="H23" s="4">
        <f t="shared" si="7"/>
        <v>70.333333333333329</v>
      </c>
      <c r="I23" s="4">
        <f t="shared" si="8"/>
        <v>17.583333333333332</v>
      </c>
      <c r="J23" s="5"/>
      <c r="K23" s="4"/>
      <c r="L23" s="4">
        <f t="shared" si="9"/>
        <v>0</v>
      </c>
      <c r="M23" s="4">
        <f t="shared" si="10"/>
        <v>0</v>
      </c>
      <c r="N23" s="4">
        <f t="shared" si="11"/>
        <v>17.583333333333332</v>
      </c>
    </row>
    <row r="24" spans="1:15" x14ac:dyDescent="0.3">
      <c r="A24" s="2">
        <v>4</v>
      </c>
      <c r="B24" s="7" t="s">
        <v>138</v>
      </c>
      <c r="C24" s="4">
        <v>82</v>
      </c>
      <c r="D24" s="4">
        <v>84</v>
      </c>
      <c r="E24" s="4">
        <v>82</v>
      </c>
      <c r="F24" s="5"/>
      <c r="G24" s="6">
        <f t="shared" si="6"/>
        <v>248</v>
      </c>
      <c r="H24" s="4">
        <f t="shared" si="7"/>
        <v>82.666666666666671</v>
      </c>
      <c r="I24" s="4">
        <f t="shared" si="8"/>
        <v>20.666666666666668</v>
      </c>
      <c r="J24" s="5"/>
      <c r="K24" s="4"/>
      <c r="L24" s="4">
        <f t="shared" si="9"/>
        <v>0</v>
      </c>
      <c r="M24" s="4">
        <f t="shared" si="10"/>
        <v>0</v>
      </c>
      <c r="N24" s="4">
        <f t="shared" si="11"/>
        <v>20.666666666666668</v>
      </c>
    </row>
    <row r="25" spans="1:15" x14ac:dyDescent="0.3">
      <c r="A25" s="2">
        <v>5</v>
      </c>
      <c r="B25" s="7" t="s">
        <v>139</v>
      </c>
      <c r="C25" s="4">
        <v>69</v>
      </c>
      <c r="D25" s="4">
        <v>58</v>
      </c>
      <c r="E25" s="4">
        <v>80</v>
      </c>
      <c r="F25" s="5"/>
      <c r="G25" s="6">
        <f t="shared" si="6"/>
        <v>207</v>
      </c>
      <c r="H25" s="4">
        <f t="shared" si="7"/>
        <v>69</v>
      </c>
      <c r="I25" s="4">
        <f t="shared" si="8"/>
        <v>17.25</v>
      </c>
      <c r="J25" s="5"/>
      <c r="K25" s="4"/>
      <c r="L25" s="4">
        <f t="shared" si="9"/>
        <v>0</v>
      </c>
      <c r="M25" s="4">
        <f t="shared" si="10"/>
        <v>0</v>
      </c>
      <c r="N25" s="4">
        <f t="shared" si="11"/>
        <v>17.25</v>
      </c>
    </row>
    <row r="26" spans="1:15" x14ac:dyDescent="0.3">
      <c r="A26" s="2">
        <v>6</v>
      </c>
      <c r="B26" s="7" t="s">
        <v>134</v>
      </c>
      <c r="C26" s="4">
        <v>77</v>
      </c>
      <c r="D26" s="4">
        <v>69</v>
      </c>
      <c r="E26" s="4">
        <v>68</v>
      </c>
      <c r="F26" s="5"/>
      <c r="G26" s="6">
        <f t="shared" si="6"/>
        <v>214</v>
      </c>
      <c r="H26" s="4">
        <f t="shared" si="7"/>
        <v>71.333333333333329</v>
      </c>
      <c r="I26" s="4">
        <f t="shared" si="8"/>
        <v>17.833333333333332</v>
      </c>
      <c r="J26" s="5"/>
      <c r="K26" s="4"/>
      <c r="L26" s="4">
        <f t="shared" si="9"/>
        <v>0</v>
      </c>
      <c r="M26" s="4">
        <f t="shared" si="10"/>
        <v>0</v>
      </c>
      <c r="N26" s="4">
        <f t="shared" si="11"/>
        <v>17.833333333333332</v>
      </c>
    </row>
    <row r="27" spans="1:15" x14ac:dyDescent="0.3">
      <c r="A27" s="2">
        <v>7</v>
      </c>
      <c r="B27" s="7" t="s">
        <v>136</v>
      </c>
      <c r="C27" s="4">
        <v>89</v>
      </c>
      <c r="D27" s="4">
        <v>90</v>
      </c>
      <c r="E27" s="4">
        <v>89</v>
      </c>
      <c r="F27" s="5"/>
      <c r="G27" s="6">
        <f t="shared" si="6"/>
        <v>268</v>
      </c>
      <c r="H27" s="4">
        <f t="shared" si="7"/>
        <v>89.333333333333329</v>
      </c>
      <c r="I27" s="4">
        <f t="shared" si="8"/>
        <v>22.333333333333332</v>
      </c>
      <c r="J27" s="5"/>
      <c r="K27" s="4"/>
      <c r="L27" s="4">
        <f t="shared" si="9"/>
        <v>0</v>
      </c>
      <c r="M27" s="4">
        <f t="shared" si="10"/>
        <v>0</v>
      </c>
      <c r="N27" s="4">
        <f t="shared" si="11"/>
        <v>22.333333333333332</v>
      </c>
    </row>
    <row r="31" spans="1:15" x14ac:dyDescent="0.3">
      <c r="A31" s="63" t="s">
        <v>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1:15" x14ac:dyDescent="0.3">
      <c r="A32" s="63" t="s">
        <v>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1:15" x14ac:dyDescent="0.3">
      <c r="A33" s="63" t="s">
        <v>132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1:15" x14ac:dyDescent="0.3">
      <c r="B34" s="64" t="s">
        <v>140</v>
      </c>
      <c r="C34" s="64"/>
      <c r="D34" s="64"/>
    </row>
    <row r="35" spans="1:15" x14ac:dyDescent="0.3">
      <c r="C35" s="1" t="s">
        <v>4</v>
      </c>
      <c r="D35" s="1" t="s">
        <v>5</v>
      </c>
      <c r="E35" s="1" t="s">
        <v>6</v>
      </c>
      <c r="F35" s="1"/>
      <c r="G35" s="1" t="s">
        <v>7</v>
      </c>
      <c r="H35" s="1" t="s">
        <v>8</v>
      </c>
      <c r="I35" s="3">
        <v>0.25</v>
      </c>
      <c r="J35" s="1"/>
      <c r="K35" s="1" t="s">
        <v>9</v>
      </c>
      <c r="L35" s="1"/>
      <c r="M35" s="3">
        <v>0.75</v>
      </c>
      <c r="N35" s="1" t="s">
        <v>10</v>
      </c>
    </row>
    <row r="36" spans="1:15" x14ac:dyDescent="0.3">
      <c r="A36" s="2">
        <v>1</v>
      </c>
      <c r="B36" s="7" t="s">
        <v>135</v>
      </c>
      <c r="C36" s="4">
        <v>41</v>
      </c>
      <c r="D36" s="4">
        <v>47</v>
      </c>
      <c r="E36" s="4">
        <v>47</v>
      </c>
      <c r="F36" s="5"/>
      <c r="G36" s="6">
        <f>SUM(C36:E36)</f>
        <v>135</v>
      </c>
      <c r="H36" s="4">
        <f>AVERAGE(C36:E36)</f>
        <v>45</v>
      </c>
      <c r="I36" s="4">
        <f>G36/12</f>
        <v>11.25</v>
      </c>
      <c r="J36" s="5"/>
      <c r="K36" s="4">
        <v>38</v>
      </c>
      <c r="L36" s="4">
        <f>K36*3</f>
        <v>114</v>
      </c>
      <c r="M36" s="4">
        <f>L36/4</f>
        <v>28.5</v>
      </c>
      <c r="N36" s="4">
        <f>M36+I36</f>
        <v>39.75</v>
      </c>
    </row>
    <row r="37" spans="1:15" x14ac:dyDescent="0.3">
      <c r="A37" s="2">
        <v>2</v>
      </c>
      <c r="B37" s="7" t="s">
        <v>137</v>
      </c>
      <c r="C37" s="4">
        <v>55</v>
      </c>
      <c r="D37" s="4">
        <v>55</v>
      </c>
      <c r="E37" s="4">
        <v>59</v>
      </c>
      <c r="F37" s="5"/>
      <c r="G37" s="6">
        <f t="shared" ref="G37:G42" si="12">SUM(C37:E37)</f>
        <v>169</v>
      </c>
      <c r="H37" s="4">
        <f t="shared" ref="H37:H42" si="13">AVERAGE(C37:E37)</f>
        <v>56.333333333333336</v>
      </c>
      <c r="I37" s="4">
        <f t="shared" ref="I37:I42" si="14">G37/12</f>
        <v>14.083333333333334</v>
      </c>
      <c r="J37" s="5"/>
      <c r="K37" s="4">
        <v>52</v>
      </c>
      <c r="L37" s="4">
        <f t="shared" ref="L37:L42" si="15">K37*3</f>
        <v>156</v>
      </c>
      <c r="M37" s="4">
        <f t="shared" ref="M37:M42" si="16">L37/4</f>
        <v>39</v>
      </c>
      <c r="N37" s="4">
        <f t="shared" ref="N37:N42" si="17">M37+I37</f>
        <v>53.083333333333336</v>
      </c>
    </row>
    <row r="38" spans="1:15" x14ac:dyDescent="0.3">
      <c r="A38" s="2">
        <v>3</v>
      </c>
      <c r="B38" s="7" t="s">
        <v>133</v>
      </c>
      <c r="C38" s="4">
        <v>62</v>
      </c>
      <c r="D38" s="4">
        <v>69</v>
      </c>
      <c r="E38" s="4">
        <v>54</v>
      </c>
      <c r="F38" s="5"/>
      <c r="G38" s="6">
        <f t="shared" si="12"/>
        <v>185</v>
      </c>
      <c r="H38" s="4">
        <f t="shared" si="13"/>
        <v>61.666666666666664</v>
      </c>
      <c r="I38" s="4">
        <f t="shared" si="14"/>
        <v>15.416666666666666</v>
      </c>
      <c r="J38" s="5"/>
      <c r="K38" s="4">
        <v>55</v>
      </c>
      <c r="L38" s="4">
        <f t="shared" si="15"/>
        <v>165</v>
      </c>
      <c r="M38" s="4">
        <f t="shared" si="16"/>
        <v>41.25</v>
      </c>
      <c r="N38" s="4">
        <f t="shared" si="17"/>
        <v>56.666666666666664</v>
      </c>
    </row>
    <row r="39" spans="1:15" x14ac:dyDescent="0.3">
      <c r="A39" s="2">
        <v>4</v>
      </c>
      <c r="B39" s="7" t="s">
        <v>138</v>
      </c>
      <c r="C39" s="4">
        <v>81</v>
      </c>
      <c r="D39" s="4">
        <v>84</v>
      </c>
      <c r="E39" s="4">
        <v>77</v>
      </c>
      <c r="F39" s="5"/>
      <c r="G39" s="6">
        <f t="shared" si="12"/>
        <v>242</v>
      </c>
      <c r="H39" s="4">
        <f t="shared" si="13"/>
        <v>80.666666666666671</v>
      </c>
      <c r="I39" s="4">
        <f t="shared" si="14"/>
        <v>20.166666666666668</v>
      </c>
      <c r="J39" s="5"/>
      <c r="K39" s="4">
        <v>82</v>
      </c>
      <c r="L39" s="4">
        <f t="shared" si="15"/>
        <v>246</v>
      </c>
      <c r="M39" s="4">
        <f t="shared" si="16"/>
        <v>61.5</v>
      </c>
      <c r="N39" s="4">
        <f t="shared" si="17"/>
        <v>81.666666666666671</v>
      </c>
    </row>
    <row r="40" spans="1:15" x14ac:dyDescent="0.3">
      <c r="A40" s="2">
        <v>5</v>
      </c>
      <c r="B40" s="7" t="s">
        <v>139</v>
      </c>
      <c r="C40" s="4">
        <v>62</v>
      </c>
      <c r="D40" s="4">
        <v>58</v>
      </c>
      <c r="E40" s="4">
        <v>65</v>
      </c>
      <c r="F40" s="5"/>
      <c r="G40" s="6">
        <f t="shared" si="12"/>
        <v>185</v>
      </c>
      <c r="H40" s="4">
        <f t="shared" si="13"/>
        <v>61.666666666666664</v>
      </c>
      <c r="I40" s="4">
        <f t="shared" si="14"/>
        <v>15.416666666666666</v>
      </c>
      <c r="J40" s="5"/>
      <c r="K40" s="4">
        <v>62</v>
      </c>
      <c r="L40" s="4">
        <f t="shared" si="15"/>
        <v>186</v>
      </c>
      <c r="M40" s="4">
        <f t="shared" si="16"/>
        <v>46.5</v>
      </c>
      <c r="N40" s="4">
        <f t="shared" si="17"/>
        <v>61.916666666666664</v>
      </c>
    </row>
    <row r="41" spans="1:15" x14ac:dyDescent="0.3">
      <c r="A41" s="2">
        <v>6</v>
      </c>
      <c r="B41" s="7" t="s">
        <v>134</v>
      </c>
      <c r="C41" s="4">
        <v>75</v>
      </c>
      <c r="D41" s="4">
        <v>77</v>
      </c>
      <c r="E41" s="4">
        <v>72</v>
      </c>
      <c r="F41" s="5"/>
      <c r="G41" s="6">
        <f t="shared" si="12"/>
        <v>224</v>
      </c>
      <c r="H41" s="4">
        <f t="shared" si="13"/>
        <v>74.666666666666671</v>
      </c>
      <c r="I41" s="4">
        <f t="shared" si="14"/>
        <v>18.666666666666668</v>
      </c>
      <c r="J41" s="5"/>
      <c r="K41" s="4">
        <v>75</v>
      </c>
      <c r="L41" s="4">
        <f t="shared" si="15"/>
        <v>225</v>
      </c>
      <c r="M41" s="4">
        <f t="shared" si="16"/>
        <v>56.25</v>
      </c>
      <c r="N41" s="4">
        <f t="shared" si="17"/>
        <v>74.916666666666671</v>
      </c>
    </row>
    <row r="42" spans="1:15" x14ac:dyDescent="0.3">
      <c r="A42" s="2">
        <v>7</v>
      </c>
      <c r="B42" s="7" t="s">
        <v>136</v>
      </c>
      <c r="C42" s="4">
        <v>83</v>
      </c>
      <c r="D42" s="4">
        <v>84</v>
      </c>
      <c r="E42" s="4">
        <v>78</v>
      </c>
      <c r="F42" s="5"/>
      <c r="G42" s="6">
        <f t="shared" si="12"/>
        <v>245</v>
      </c>
      <c r="H42" s="4">
        <f t="shared" si="13"/>
        <v>81.666666666666671</v>
      </c>
      <c r="I42" s="4">
        <f t="shared" si="14"/>
        <v>20.416666666666668</v>
      </c>
      <c r="J42" s="5"/>
      <c r="K42" s="4">
        <v>85</v>
      </c>
      <c r="L42" s="4">
        <f t="shared" si="15"/>
        <v>255</v>
      </c>
      <c r="M42" s="4">
        <f t="shared" si="16"/>
        <v>63.75</v>
      </c>
      <c r="N42" s="4">
        <f t="shared" si="17"/>
        <v>84.166666666666671</v>
      </c>
    </row>
    <row r="44" spans="1:15" x14ac:dyDescent="0.3">
      <c r="C44" s="2">
        <f>AVERAGE(C36:C42)</f>
        <v>65.571428571428569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132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21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7" t="s">
        <v>135</v>
      </c>
      <c r="C53" s="4">
        <v>40</v>
      </c>
      <c r="D53" s="4">
        <v>38</v>
      </c>
      <c r="E53" s="4">
        <v>35</v>
      </c>
      <c r="F53" s="5"/>
      <c r="G53" s="6">
        <f>SUM(C53:E53)</f>
        <v>113</v>
      </c>
      <c r="H53" s="4">
        <f>AVERAGE(C53:E53)</f>
        <v>37.666666666666664</v>
      </c>
      <c r="I53" s="4">
        <f>G53/12</f>
        <v>9.4166666666666661</v>
      </c>
      <c r="J53" s="5"/>
      <c r="K53" s="4">
        <v>38</v>
      </c>
      <c r="L53" s="4">
        <f>K53*3</f>
        <v>114</v>
      </c>
      <c r="M53" s="4">
        <f>L53/4</f>
        <v>28.5</v>
      </c>
      <c r="N53" s="4">
        <f>M53+I53</f>
        <v>37.916666666666664</v>
      </c>
    </row>
    <row r="54" spans="1:15" x14ac:dyDescent="0.3">
      <c r="A54" s="2">
        <v>2</v>
      </c>
      <c r="B54" s="7" t="s">
        <v>137</v>
      </c>
      <c r="C54" s="4">
        <v>39</v>
      </c>
      <c r="D54" s="4">
        <v>37</v>
      </c>
      <c r="E54" s="4">
        <v>41</v>
      </c>
      <c r="F54" s="5"/>
      <c r="G54" s="6">
        <f t="shared" ref="G54:G59" si="18">SUM(C54:E54)</f>
        <v>117</v>
      </c>
      <c r="H54" s="4">
        <f t="shared" ref="H54:H59" si="19">AVERAGE(C54:E54)</f>
        <v>39</v>
      </c>
      <c r="I54" s="4">
        <f t="shared" ref="I54:I59" si="20">G54/12</f>
        <v>9.75</v>
      </c>
      <c r="J54" s="5"/>
      <c r="K54" s="4">
        <v>42</v>
      </c>
      <c r="L54" s="4">
        <f t="shared" ref="L54:L59" si="21">K54*3</f>
        <v>126</v>
      </c>
      <c r="M54" s="4">
        <f t="shared" ref="M54:M59" si="22">L54/4</f>
        <v>31.5</v>
      </c>
      <c r="N54" s="4">
        <f t="shared" ref="N54:N59" si="23">M54+I54</f>
        <v>41.25</v>
      </c>
    </row>
    <row r="55" spans="1:15" x14ac:dyDescent="0.3">
      <c r="A55" s="2">
        <v>3</v>
      </c>
      <c r="B55" s="7" t="s">
        <v>133</v>
      </c>
      <c r="C55" s="4">
        <v>32</v>
      </c>
      <c r="D55" s="4">
        <v>42</v>
      </c>
      <c r="E55" s="4">
        <v>29</v>
      </c>
      <c r="F55" s="5"/>
      <c r="G55" s="6">
        <f t="shared" si="18"/>
        <v>103</v>
      </c>
      <c r="H55" s="4">
        <f t="shared" si="19"/>
        <v>34.333333333333336</v>
      </c>
      <c r="I55" s="4">
        <f t="shared" si="20"/>
        <v>8.5833333333333339</v>
      </c>
      <c r="J55" s="5"/>
      <c r="K55" s="4">
        <v>40</v>
      </c>
      <c r="L55" s="4">
        <f t="shared" si="21"/>
        <v>120</v>
      </c>
      <c r="M55" s="4">
        <f t="shared" si="22"/>
        <v>30</v>
      </c>
      <c r="N55" s="4">
        <f t="shared" si="23"/>
        <v>38.583333333333336</v>
      </c>
    </row>
    <row r="56" spans="1:15" x14ac:dyDescent="0.3">
      <c r="A56" s="2">
        <v>4</v>
      </c>
      <c r="B56" s="7" t="s">
        <v>138</v>
      </c>
      <c r="C56" s="4">
        <v>69</v>
      </c>
      <c r="D56" s="4">
        <v>58</v>
      </c>
      <c r="E56" s="4">
        <v>59</v>
      </c>
      <c r="F56" s="5"/>
      <c r="G56" s="6">
        <f t="shared" si="18"/>
        <v>186</v>
      </c>
      <c r="H56" s="4">
        <f t="shared" si="19"/>
        <v>62</v>
      </c>
      <c r="I56" s="4">
        <f t="shared" si="20"/>
        <v>15.5</v>
      </c>
      <c r="J56" s="5"/>
      <c r="K56" s="4">
        <v>62</v>
      </c>
      <c r="L56" s="4">
        <f t="shared" si="21"/>
        <v>186</v>
      </c>
      <c r="M56" s="4">
        <f t="shared" si="22"/>
        <v>46.5</v>
      </c>
      <c r="N56" s="4">
        <f t="shared" si="23"/>
        <v>62</v>
      </c>
    </row>
    <row r="57" spans="1:15" x14ac:dyDescent="0.3">
      <c r="A57" s="2">
        <v>5</v>
      </c>
      <c r="B57" s="7" t="s">
        <v>139</v>
      </c>
      <c r="C57" s="4">
        <v>55</v>
      </c>
      <c r="D57" s="4">
        <v>44</v>
      </c>
      <c r="E57" s="4">
        <v>54</v>
      </c>
      <c r="F57" s="5"/>
      <c r="G57" s="6">
        <f t="shared" si="18"/>
        <v>153</v>
      </c>
      <c r="H57" s="4">
        <f t="shared" si="19"/>
        <v>51</v>
      </c>
      <c r="I57" s="4">
        <f t="shared" si="20"/>
        <v>12.75</v>
      </c>
      <c r="J57" s="5"/>
      <c r="K57" s="4">
        <v>44</v>
      </c>
      <c r="L57" s="4">
        <f t="shared" si="21"/>
        <v>132</v>
      </c>
      <c r="M57" s="4">
        <f t="shared" si="22"/>
        <v>33</v>
      </c>
      <c r="N57" s="4">
        <f t="shared" si="23"/>
        <v>45.75</v>
      </c>
    </row>
    <row r="58" spans="1:15" x14ac:dyDescent="0.3">
      <c r="A58" s="2">
        <v>6</v>
      </c>
      <c r="B58" s="7" t="s">
        <v>134</v>
      </c>
      <c r="C58" s="4">
        <v>38</v>
      </c>
      <c r="D58" s="4">
        <v>65</v>
      </c>
      <c r="E58" s="4">
        <v>55</v>
      </c>
      <c r="F58" s="5"/>
      <c r="G58" s="6">
        <f t="shared" si="18"/>
        <v>158</v>
      </c>
      <c r="H58" s="4">
        <f t="shared" si="19"/>
        <v>52.666666666666664</v>
      </c>
      <c r="I58" s="4">
        <f t="shared" si="20"/>
        <v>13.166666666666666</v>
      </c>
      <c r="J58" s="5"/>
      <c r="K58" s="4">
        <v>48</v>
      </c>
      <c r="L58" s="4">
        <f t="shared" si="21"/>
        <v>144</v>
      </c>
      <c r="M58" s="4">
        <f t="shared" si="22"/>
        <v>36</v>
      </c>
      <c r="N58" s="4">
        <f t="shared" si="23"/>
        <v>49.166666666666664</v>
      </c>
    </row>
    <row r="59" spans="1:15" x14ac:dyDescent="0.3">
      <c r="A59" s="2">
        <v>7</v>
      </c>
      <c r="B59" s="7" t="s">
        <v>136</v>
      </c>
      <c r="C59" s="4">
        <v>72</v>
      </c>
      <c r="D59" s="4">
        <v>71</v>
      </c>
      <c r="E59" s="4">
        <v>75</v>
      </c>
      <c r="F59" s="5"/>
      <c r="G59" s="6">
        <f t="shared" si="18"/>
        <v>218</v>
      </c>
      <c r="H59" s="4">
        <f t="shared" si="19"/>
        <v>72.666666666666671</v>
      </c>
      <c r="I59" s="4">
        <f t="shared" si="20"/>
        <v>18.166666666666668</v>
      </c>
      <c r="J59" s="5"/>
      <c r="K59" s="4">
        <v>72</v>
      </c>
      <c r="L59" s="4">
        <f t="shared" si="21"/>
        <v>216</v>
      </c>
      <c r="M59" s="4">
        <f t="shared" si="22"/>
        <v>54</v>
      </c>
      <c r="N59" s="4">
        <f t="shared" si="23"/>
        <v>72.166666666666671</v>
      </c>
    </row>
    <row r="63" spans="1:15" x14ac:dyDescent="0.3">
      <c r="A63" s="63" t="s">
        <v>0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15" x14ac:dyDescent="0.3">
      <c r="A64" s="63" t="s">
        <v>1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1:15" x14ac:dyDescent="0.3">
      <c r="A65" s="63" t="s">
        <v>132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1:15" x14ac:dyDescent="0.3">
      <c r="B66" s="64" t="s">
        <v>107</v>
      </c>
      <c r="C66" s="64"/>
      <c r="D66" s="64"/>
    </row>
    <row r="67" spans="1:15" x14ac:dyDescent="0.3">
      <c r="C67" s="1" t="s">
        <v>4</v>
      </c>
      <c r="D67" s="1" t="s">
        <v>5</v>
      </c>
      <c r="E67" s="1" t="s">
        <v>6</v>
      </c>
      <c r="F67" s="1"/>
      <c r="G67" s="1" t="s">
        <v>7</v>
      </c>
      <c r="H67" s="1" t="s">
        <v>8</v>
      </c>
      <c r="I67" s="3">
        <v>0.25</v>
      </c>
      <c r="J67" s="1"/>
      <c r="K67" s="1" t="s">
        <v>9</v>
      </c>
      <c r="L67" s="1"/>
      <c r="M67" s="3">
        <v>0.75</v>
      </c>
      <c r="N67" s="1" t="s">
        <v>10</v>
      </c>
    </row>
    <row r="68" spans="1:15" x14ac:dyDescent="0.3">
      <c r="A68" s="2">
        <v>1</v>
      </c>
      <c r="B68" s="7" t="s">
        <v>135</v>
      </c>
      <c r="C68" s="4">
        <v>52</v>
      </c>
      <c r="D68" s="4">
        <v>55</v>
      </c>
      <c r="E68" s="4">
        <v>59</v>
      </c>
      <c r="F68" s="5"/>
      <c r="G68" s="6">
        <f>SUM(C68:E68)</f>
        <v>166</v>
      </c>
      <c r="H68" s="4">
        <f>AVERAGE(C68:E68)</f>
        <v>55.333333333333336</v>
      </c>
      <c r="I68" s="4">
        <f>G68/12</f>
        <v>13.833333333333334</v>
      </c>
      <c r="J68" s="5"/>
      <c r="K68" s="4">
        <v>53</v>
      </c>
      <c r="L68" s="4">
        <f>K68*3</f>
        <v>159</v>
      </c>
      <c r="M68" s="4">
        <f>L68/4</f>
        <v>39.75</v>
      </c>
      <c r="N68" s="4">
        <f>M68+I68</f>
        <v>53.583333333333336</v>
      </c>
    </row>
    <row r="69" spans="1:15" x14ac:dyDescent="0.3">
      <c r="A69" s="2">
        <v>2</v>
      </c>
      <c r="B69" s="7" t="s">
        <v>137</v>
      </c>
      <c r="C69" s="4">
        <v>62</v>
      </c>
      <c r="D69" s="4">
        <v>62</v>
      </c>
      <c r="E69" s="4">
        <v>60</v>
      </c>
      <c r="F69" s="5"/>
      <c r="G69" s="6">
        <f t="shared" ref="G69:G74" si="24">SUM(C69:E69)</f>
        <v>184</v>
      </c>
      <c r="H69" s="4">
        <f t="shared" ref="H69:H74" si="25">AVERAGE(C69:E69)</f>
        <v>61.333333333333336</v>
      </c>
      <c r="I69" s="4">
        <f t="shared" ref="I69:I74" si="26">G69/12</f>
        <v>15.333333333333334</v>
      </c>
      <c r="J69" s="5"/>
      <c r="K69" s="4">
        <v>60</v>
      </c>
      <c r="L69" s="4">
        <f t="shared" ref="L69:L74" si="27">K69*3</f>
        <v>180</v>
      </c>
      <c r="M69" s="4">
        <f t="shared" ref="M69:M74" si="28">L69/4</f>
        <v>45</v>
      </c>
      <c r="N69" s="4">
        <f t="shared" ref="N69:N74" si="29">M69+I69</f>
        <v>60.333333333333336</v>
      </c>
    </row>
    <row r="70" spans="1:15" x14ac:dyDescent="0.3">
      <c r="A70" s="2">
        <v>3</v>
      </c>
      <c r="B70" s="7" t="s">
        <v>133</v>
      </c>
      <c r="C70" s="4">
        <v>69</v>
      </c>
      <c r="D70" s="4">
        <v>65</v>
      </c>
      <c r="E70" s="4">
        <v>65</v>
      </c>
      <c r="F70" s="5"/>
      <c r="G70" s="6">
        <f t="shared" si="24"/>
        <v>199</v>
      </c>
      <c r="H70" s="4">
        <f t="shared" si="25"/>
        <v>66.333333333333329</v>
      </c>
      <c r="I70" s="4">
        <f t="shared" si="26"/>
        <v>16.583333333333332</v>
      </c>
      <c r="J70" s="5"/>
      <c r="K70" s="4">
        <v>54</v>
      </c>
      <c r="L70" s="4">
        <f t="shared" si="27"/>
        <v>162</v>
      </c>
      <c r="M70" s="4">
        <f t="shared" si="28"/>
        <v>40.5</v>
      </c>
      <c r="N70" s="4">
        <f t="shared" si="29"/>
        <v>57.083333333333329</v>
      </c>
    </row>
    <row r="71" spans="1:15" x14ac:dyDescent="0.3">
      <c r="A71" s="2">
        <v>4</v>
      </c>
      <c r="B71" s="7" t="s">
        <v>138</v>
      </c>
      <c r="C71" s="4">
        <v>96</v>
      </c>
      <c r="D71" s="4">
        <v>93</v>
      </c>
      <c r="E71" s="4">
        <v>95</v>
      </c>
      <c r="F71" s="5"/>
      <c r="G71" s="6">
        <f t="shared" si="24"/>
        <v>284</v>
      </c>
      <c r="H71" s="4">
        <f t="shared" si="25"/>
        <v>94.666666666666671</v>
      </c>
      <c r="I71" s="4">
        <f t="shared" si="26"/>
        <v>23.666666666666668</v>
      </c>
      <c r="J71" s="5"/>
      <c r="K71" s="4">
        <v>92</v>
      </c>
      <c r="L71" s="4">
        <f t="shared" si="27"/>
        <v>276</v>
      </c>
      <c r="M71" s="4">
        <f t="shared" si="28"/>
        <v>69</v>
      </c>
      <c r="N71" s="4">
        <f t="shared" si="29"/>
        <v>92.666666666666671</v>
      </c>
    </row>
    <row r="72" spans="1:15" x14ac:dyDescent="0.3">
      <c r="A72" s="2">
        <v>5</v>
      </c>
      <c r="B72" s="7" t="s">
        <v>139</v>
      </c>
      <c r="C72" s="4">
        <v>58</v>
      </c>
      <c r="D72" s="4">
        <v>54</v>
      </c>
      <c r="E72" s="4">
        <v>58</v>
      </c>
      <c r="F72" s="5"/>
      <c r="G72" s="6">
        <f t="shared" si="24"/>
        <v>170</v>
      </c>
      <c r="H72" s="4">
        <f t="shared" si="25"/>
        <v>56.666666666666664</v>
      </c>
      <c r="I72" s="4">
        <f t="shared" si="26"/>
        <v>14.166666666666666</v>
      </c>
      <c r="J72" s="5"/>
      <c r="K72" s="4">
        <v>54</v>
      </c>
      <c r="L72" s="4">
        <f t="shared" si="27"/>
        <v>162</v>
      </c>
      <c r="M72" s="4">
        <f t="shared" si="28"/>
        <v>40.5</v>
      </c>
      <c r="N72" s="4">
        <f t="shared" si="29"/>
        <v>54.666666666666664</v>
      </c>
    </row>
    <row r="73" spans="1:15" x14ac:dyDescent="0.3">
      <c r="A73" s="2">
        <v>6</v>
      </c>
      <c r="B73" s="7" t="s">
        <v>134</v>
      </c>
      <c r="C73" s="4">
        <v>55</v>
      </c>
      <c r="D73" s="4">
        <v>70</v>
      </c>
      <c r="E73" s="4">
        <v>72</v>
      </c>
      <c r="F73" s="5"/>
      <c r="G73" s="6">
        <f t="shared" si="24"/>
        <v>197</v>
      </c>
      <c r="H73" s="4">
        <f t="shared" si="25"/>
        <v>65.666666666666671</v>
      </c>
      <c r="I73" s="4">
        <f t="shared" si="26"/>
        <v>16.416666666666668</v>
      </c>
      <c r="J73" s="5"/>
      <c r="K73" s="4">
        <v>62</v>
      </c>
      <c r="L73" s="4">
        <f t="shared" si="27"/>
        <v>186</v>
      </c>
      <c r="M73" s="4">
        <f t="shared" si="28"/>
        <v>46.5</v>
      </c>
      <c r="N73" s="4">
        <f t="shared" si="29"/>
        <v>62.916666666666671</v>
      </c>
    </row>
    <row r="74" spans="1:15" x14ac:dyDescent="0.3">
      <c r="A74" s="2">
        <v>7</v>
      </c>
      <c r="B74" s="7" t="s">
        <v>136</v>
      </c>
      <c r="C74" s="4">
        <v>88</v>
      </c>
      <c r="D74" s="4">
        <v>83</v>
      </c>
      <c r="E74" s="4">
        <v>84</v>
      </c>
      <c r="F74" s="5"/>
      <c r="G74" s="6">
        <f t="shared" si="24"/>
        <v>255</v>
      </c>
      <c r="H74" s="4">
        <f t="shared" si="25"/>
        <v>85</v>
      </c>
      <c r="I74" s="4">
        <f t="shared" si="26"/>
        <v>21.25</v>
      </c>
      <c r="J74" s="5"/>
      <c r="K74" s="4">
        <v>82</v>
      </c>
      <c r="L74" s="4">
        <f t="shared" si="27"/>
        <v>246</v>
      </c>
      <c r="M74" s="4">
        <f t="shared" si="28"/>
        <v>61.5</v>
      </c>
      <c r="N74" s="4">
        <f t="shared" si="29"/>
        <v>82.75</v>
      </c>
    </row>
    <row r="78" spans="1:15" x14ac:dyDescent="0.3">
      <c r="A78" s="63" t="s">
        <v>0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1:15" x14ac:dyDescent="0.3">
      <c r="A79" s="63" t="s">
        <v>1</v>
      </c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1:15" x14ac:dyDescent="0.3">
      <c r="A80" s="63" t="s">
        <v>132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1:15" x14ac:dyDescent="0.3">
      <c r="B81" s="64" t="s">
        <v>141</v>
      </c>
      <c r="C81" s="64"/>
      <c r="D81" s="64"/>
    </row>
    <row r="82" spans="1:15" x14ac:dyDescent="0.3">
      <c r="C82" s="1" t="s">
        <v>4</v>
      </c>
      <c r="D82" s="1" t="s">
        <v>5</v>
      </c>
      <c r="E82" s="1" t="s">
        <v>6</v>
      </c>
      <c r="F82" s="1"/>
      <c r="G82" s="1" t="s">
        <v>7</v>
      </c>
      <c r="H82" s="1" t="s">
        <v>8</v>
      </c>
      <c r="I82" s="3">
        <v>0.25</v>
      </c>
      <c r="J82" s="1"/>
      <c r="K82" s="1" t="s">
        <v>9</v>
      </c>
      <c r="L82" s="1"/>
      <c r="M82" s="3">
        <v>0.75</v>
      </c>
      <c r="N82" s="1" t="s">
        <v>10</v>
      </c>
    </row>
    <row r="83" spans="1:15" x14ac:dyDescent="0.3">
      <c r="A83" s="2">
        <v>1</v>
      </c>
      <c r="B83" s="7" t="s">
        <v>135</v>
      </c>
      <c r="C83" s="4">
        <v>54</v>
      </c>
      <c r="D83" s="4">
        <v>54</v>
      </c>
      <c r="E83" s="4">
        <v>53</v>
      </c>
      <c r="F83" s="5"/>
      <c r="G83" s="6">
        <f>SUM(C83:E83)</f>
        <v>161</v>
      </c>
      <c r="H83" s="4">
        <f>AVERAGE(C83:E83)</f>
        <v>53.666666666666664</v>
      </c>
      <c r="I83" s="4">
        <f>G83/12</f>
        <v>13.416666666666666</v>
      </c>
      <c r="J83" s="5"/>
      <c r="K83" s="4">
        <v>55</v>
      </c>
      <c r="L83" s="4">
        <f>K83*3</f>
        <v>165</v>
      </c>
      <c r="M83" s="4">
        <f>L83/4</f>
        <v>41.25</v>
      </c>
      <c r="N83" s="4">
        <f>M83+I83</f>
        <v>54.666666666666664</v>
      </c>
    </row>
    <row r="84" spans="1:15" x14ac:dyDescent="0.3">
      <c r="A84" s="2">
        <v>2</v>
      </c>
      <c r="B84" s="7" t="s">
        <v>137</v>
      </c>
      <c r="C84" s="4">
        <v>39</v>
      </c>
      <c r="D84" s="4">
        <v>38</v>
      </c>
      <c r="E84" s="4">
        <v>62</v>
      </c>
      <c r="F84" s="5"/>
      <c r="G84" s="6">
        <f t="shared" ref="G84:G89" si="30">SUM(C84:E84)</f>
        <v>139</v>
      </c>
      <c r="H84" s="4">
        <f t="shared" ref="H84:H89" si="31">AVERAGE(C84:E84)</f>
        <v>46.333333333333336</v>
      </c>
      <c r="I84" s="4">
        <f t="shared" ref="I84:I89" si="32">G84/12</f>
        <v>11.583333333333334</v>
      </c>
      <c r="J84" s="5"/>
      <c r="K84" s="4">
        <v>47</v>
      </c>
      <c r="L84" s="4">
        <f t="shared" ref="L84:L89" si="33">K84*3</f>
        <v>141</v>
      </c>
      <c r="M84" s="4">
        <f t="shared" ref="M84:M89" si="34">L84/4</f>
        <v>35.25</v>
      </c>
      <c r="N84" s="4">
        <f t="shared" ref="N84:N89" si="35">M84+I84</f>
        <v>46.833333333333336</v>
      </c>
    </row>
    <row r="85" spans="1:15" x14ac:dyDescent="0.3">
      <c r="A85" s="2">
        <v>3</v>
      </c>
      <c r="B85" s="7" t="s">
        <v>133</v>
      </c>
      <c r="C85" s="4">
        <v>54</v>
      </c>
      <c r="D85" s="4">
        <v>45</v>
      </c>
      <c r="E85" s="4">
        <v>58</v>
      </c>
      <c r="F85" s="5"/>
      <c r="G85" s="6">
        <f t="shared" si="30"/>
        <v>157</v>
      </c>
      <c r="H85" s="4">
        <f t="shared" si="31"/>
        <v>52.333333333333336</v>
      </c>
      <c r="I85" s="4">
        <f t="shared" si="32"/>
        <v>13.083333333333334</v>
      </c>
      <c r="J85" s="5"/>
      <c r="K85" s="4">
        <v>49</v>
      </c>
      <c r="L85" s="4">
        <f t="shared" si="33"/>
        <v>147</v>
      </c>
      <c r="M85" s="4">
        <f t="shared" si="34"/>
        <v>36.75</v>
      </c>
      <c r="N85" s="4">
        <f t="shared" si="35"/>
        <v>49.833333333333336</v>
      </c>
    </row>
    <row r="86" spans="1:15" x14ac:dyDescent="0.3">
      <c r="A86" s="2">
        <v>4</v>
      </c>
      <c r="B86" s="7" t="s">
        <v>138</v>
      </c>
      <c r="C86" s="4">
        <v>83</v>
      </c>
      <c r="D86" s="4">
        <v>85</v>
      </c>
      <c r="E86" s="4">
        <v>86</v>
      </c>
      <c r="F86" s="5"/>
      <c r="G86" s="6">
        <f t="shared" si="30"/>
        <v>254</v>
      </c>
      <c r="H86" s="4">
        <f t="shared" si="31"/>
        <v>84.666666666666671</v>
      </c>
      <c r="I86" s="4">
        <f t="shared" si="32"/>
        <v>21.166666666666668</v>
      </c>
      <c r="J86" s="5"/>
      <c r="K86" s="4">
        <v>82</v>
      </c>
      <c r="L86" s="4">
        <f t="shared" si="33"/>
        <v>246</v>
      </c>
      <c r="M86" s="4">
        <f t="shared" si="34"/>
        <v>61.5</v>
      </c>
      <c r="N86" s="4">
        <f t="shared" si="35"/>
        <v>82.666666666666671</v>
      </c>
    </row>
    <row r="87" spans="1:15" x14ac:dyDescent="0.3">
      <c r="A87" s="2">
        <v>5</v>
      </c>
      <c r="B87" s="7" t="s">
        <v>139</v>
      </c>
      <c r="C87" s="4">
        <v>62</v>
      </c>
      <c r="D87" s="4">
        <v>62</v>
      </c>
      <c r="E87" s="4">
        <v>55</v>
      </c>
      <c r="F87" s="5"/>
      <c r="G87" s="6">
        <f t="shared" si="30"/>
        <v>179</v>
      </c>
      <c r="H87" s="4">
        <f t="shared" si="31"/>
        <v>59.666666666666664</v>
      </c>
      <c r="I87" s="4">
        <f t="shared" si="32"/>
        <v>14.916666666666666</v>
      </c>
      <c r="J87" s="5"/>
      <c r="K87" s="4">
        <v>52</v>
      </c>
      <c r="L87" s="4">
        <f t="shared" si="33"/>
        <v>156</v>
      </c>
      <c r="M87" s="4">
        <f t="shared" si="34"/>
        <v>39</v>
      </c>
      <c r="N87" s="4">
        <f t="shared" si="35"/>
        <v>53.916666666666664</v>
      </c>
    </row>
    <row r="88" spans="1:15" x14ac:dyDescent="0.3">
      <c r="A88" s="2">
        <v>6</v>
      </c>
      <c r="B88" s="7" t="s">
        <v>134</v>
      </c>
      <c r="C88" s="4">
        <v>55</v>
      </c>
      <c r="D88" s="4">
        <v>55</v>
      </c>
      <c r="E88" s="4">
        <v>54</v>
      </c>
      <c r="F88" s="5"/>
      <c r="G88" s="6">
        <f t="shared" si="30"/>
        <v>164</v>
      </c>
      <c r="H88" s="4">
        <f t="shared" si="31"/>
        <v>54.666666666666664</v>
      </c>
      <c r="I88" s="4">
        <f t="shared" si="32"/>
        <v>13.666666666666666</v>
      </c>
      <c r="J88" s="5"/>
      <c r="K88" s="4">
        <v>54</v>
      </c>
      <c r="L88" s="4">
        <f t="shared" si="33"/>
        <v>162</v>
      </c>
      <c r="M88" s="4">
        <f t="shared" si="34"/>
        <v>40.5</v>
      </c>
      <c r="N88" s="4">
        <f t="shared" si="35"/>
        <v>54.166666666666664</v>
      </c>
    </row>
    <row r="89" spans="1:15" x14ac:dyDescent="0.3">
      <c r="A89" s="2">
        <v>7</v>
      </c>
      <c r="B89" s="7" t="s">
        <v>136</v>
      </c>
      <c r="C89" s="4">
        <v>85</v>
      </c>
      <c r="D89" s="4">
        <v>89</v>
      </c>
      <c r="E89" s="4">
        <v>90</v>
      </c>
      <c r="F89" s="5"/>
      <c r="G89" s="6">
        <f t="shared" si="30"/>
        <v>264</v>
      </c>
      <c r="H89" s="4">
        <f t="shared" si="31"/>
        <v>88</v>
      </c>
      <c r="I89" s="4">
        <f t="shared" si="32"/>
        <v>22</v>
      </c>
      <c r="J89" s="5"/>
      <c r="K89" s="4">
        <v>84</v>
      </c>
      <c r="L89" s="4">
        <f t="shared" si="33"/>
        <v>252</v>
      </c>
      <c r="M89" s="4">
        <f t="shared" si="34"/>
        <v>63</v>
      </c>
      <c r="N89" s="4">
        <f t="shared" si="35"/>
        <v>85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132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47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7" t="s">
        <v>135</v>
      </c>
      <c r="C100" s="4">
        <v>55</v>
      </c>
      <c r="D100" s="4">
        <v>62</v>
      </c>
      <c r="E100" s="4">
        <v>72</v>
      </c>
      <c r="F100" s="5"/>
      <c r="G100" s="6">
        <f>SUM(C100:E100)</f>
        <v>189</v>
      </c>
      <c r="H100" s="4">
        <f>AVERAGE(C100:E100)</f>
        <v>63</v>
      </c>
      <c r="I100" s="4">
        <f>G100/12</f>
        <v>15.75</v>
      </c>
      <c r="J100" s="5"/>
      <c r="K100" s="4">
        <v>62</v>
      </c>
      <c r="L100" s="4">
        <f>K100*3</f>
        <v>186</v>
      </c>
      <c r="M100" s="4">
        <f>L100/4</f>
        <v>46.5</v>
      </c>
      <c r="N100" s="4">
        <f>M100+I100</f>
        <v>62.25</v>
      </c>
    </row>
    <row r="101" spans="1:15" x14ac:dyDescent="0.3">
      <c r="A101" s="2">
        <v>2</v>
      </c>
      <c r="B101" s="7" t="s">
        <v>137</v>
      </c>
      <c r="C101" s="4">
        <v>65</v>
      </c>
      <c r="D101" s="4">
        <v>58</v>
      </c>
      <c r="E101" s="4">
        <v>55</v>
      </c>
      <c r="F101" s="5"/>
      <c r="G101" s="6">
        <f t="shared" ref="G101:G106" si="36">SUM(C101:E101)</f>
        <v>178</v>
      </c>
      <c r="H101" s="4">
        <f t="shared" ref="H101:H106" si="37">AVERAGE(C101:E101)</f>
        <v>59.333333333333336</v>
      </c>
      <c r="I101" s="4">
        <f t="shared" ref="I101:I106" si="38">G101/12</f>
        <v>14.833333333333334</v>
      </c>
      <c r="J101" s="5"/>
      <c r="K101" s="4">
        <v>57</v>
      </c>
      <c r="L101" s="4">
        <f t="shared" ref="L101:L106" si="39">K101*3</f>
        <v>171</v>
      </c>
      <c r="M101" s="4">
        <f t="shared" ref="M101:M106" si="40">L101/4</f>
        <v>42.75</v>
      </c>
      <c r="N101" s="4">
        <f t="shared" ref="N101:N106" si="41">M101+I101</f>
        <v>57.583333333333336</v>
      </c>
    </row>
    <row r="102" spans="1:15" x14ac:dyDescent="0.3">
      <c r="A102" s="2">
        <v>3</v>
      </c>
      <c r="B102" s="7" t="s">
        <v>133</v>
      </c>
      <c r="C102" s="4">
        <v>47</v>
      </c>
      <c r="D102" s="4">
        <v>47</v>
      </c>
      <c r="E102" s="4">
        <v>62</v>
      </c>
      <c r="F102" s="5"/>
      <c r="G102" s="6">
        <f t="shared" si="36"/>
        <v>156</v>
      </c>
      <c r="H102" s="4">
        <f t="shared" si="37"/>
        <v>52</v>
      </c>
      <c r="I102" s="4">
        <f t="shared" si="38"/>
        <v>13</v>
      </c>
      <c r="J102" s="5"/>
      <c r="K102" s="4">
        <v>52</v>
      </c>
      <c r="L102" s="4">
        <f t="shared" si="39"/>
        <v>156</v>
      </c>
      <c r="M102" s="4">
        <f t="shared" si="40"/>
        <v>39</v>
      </c>
      <c r="N102" s="4">
        <f t="shared" si="41"/>
        <v>52</v>
      </c>
    </row>
    <row r="103" spans="1:15" x14ac:dyDescent="0.3">
      <c r="A103" s="2">
        <v>4</v>
      </c>
      <c r="B103" s="7" t="s">
        <v>138</v>
      </c>
      <c r="C103" s="4">
        <v>81</v>
      </c>
      <c r="D103" s="4">
        <v>81</v>
      </c>
      <c r="E103" s="4">
        <v>83</v>
      </c>
      <c r="F103" s="5"/>
      <c r="G103" s="6">
        <f t="shared" si="36"/>
        <v>245</v>
      </c>
      <c r="H103" s="4">
        <f t="shared" si="37"/>
        <v>81.666666666666671</v>
      </c>
      <c r="I103" s="4">
        <f t="shared" si="38"/>
        <v>20.416666666666668</v>
      </c>
      <c r="J103" s="5"/>
      <c r="K103" s="4">
        <v>84</v>
      </c>
      <c r="L103" s="4">
        <f t="shared" si="39"/>
        <v>252</v>
      </c>
      <c r="M103" s="4">
        <f t="shared" si="40"/>
        <v>63</v>
      </c>
      <c r="N103" s="4">
        <f t="shared" si="41"/>
        <v>83.416666666666671</v>
      </c>
    </row>
    <row r="104" spans="1:15" x14ac:dyDescent="0.3">
      <c r="A104" s="2">
        <v>5</v>
      </c>
      <c r="B104" s="7" t="s">
        <v>139</v>
      </c>
      <c r="C104" s="4">
        <v>65</v>
      </c>
      <c r="D104" s="4">
        <v>62</v>
      </c>
      <c r="E104" s="4">
        <v>59</v>
      </c>
      <c r="F104" s="5"/>
      <c r="G104" s="6">
        <f t="shared" si="36"/>
        <v>186</v>
      </c>
      <c r="H104" s="4">
        <f t="shared" si="37"/>
        <v>62</v>
      </c>
      <c r="I104" s="4">
        <f t="shared" si="38"/>
        <v>15.5</v>
      </c>
      <c r="J104" s="5"/>
      <c r="K104" s="4">
        <v>62</v>
      </c>
      <c r="L104" s="4">
        <f t="shared" si="39"/>
        <v>186</v>
      </c>
      <c r="M104" s="4">
        <f t="shared" si="40"/>
        <v>46.5</v>
      </c>
      <c r="N104" s="4">
        <f t="shared" si="41"/>
        <v>62</v>
      </c>
    </row>
    <row r="105" spans="1:15" x14ac:dyDescent="0.3">
      <c r="A105" s="2">
        <v>6</v>
      </c>
      <c r="B105" s="7" t="s">
        <v>134</v>
      </c>
      <c r="C105" s="4">
        <v>77</v>
      </c>
      <c r="D105" s="4">
        <v>55</v>
      </c>
      <c r="E105" s="4">
        <v>62</v>
      </c>
      <c r="F105" s="5"/>
      <c r="G105" s="6">
        <f t="shared" si="36"/>
        <v>194</v>
      </c>
      <c r="H105" s="4">
        <f t="shared" si="37"/>
        <v>64.666666666666671</v>
      </c>
      <c r="I105" s="4">
        <f t="shared" si="38"/>
        <v>16.166666666666668</v>
      </c>
      <c r="J105" s="5"/>
      <c r="K105" s="4">
        <v>65</v>
      </c>
      <c r="L105" s="4">
        <f t="shared" si="39"/>
        <v>195</v>
      </c>
      <c r="M105" s="4">
        <f t="shared" si="40"/>
        <v>48.75</v>
      </c>
      <c r="N105" s="4">
        <f t="shared" si="41"/>
        <v>64.916666666666671</v>
      </c>
    </row>
    <row r="106" spans="1:15" x14ac:dyDescent="0.3">
      <c r="A106" s="2">
        <v>7</v>
      </c>
      <c r="B106" s="7" t="s">
        <v>136</v>
      </c>
      <c r="C106" s="4">
        <v>86</v>
      </c>
      <c r="D106" s="4">
        <v>86</v>
      </c>
      <c r="E106" s="4">
        <v>86</v>
      </c>
      <c r="F106" s="5"/>
      <c r="G106" s="6">
        <f t="shared" si="36"/>
        <v>258</v>
      </c>
      <c r="H106" s="4">
        <f t="shared" si="37"/>
        <v>86</v>
      </c>
      <c r="I106" s="4">
        <f t="shared" si="38"/>
        <v>21.5</v>
      </c>
      <c r="J106" s="5"/>
      <c r="K106" s="4">
        <v>88</v>
      </c>
      <c r="L106" s="4">
        <f t="shared" si="39"/>
        <v>264</v>
      </c>
      <c r="M106" s="4">
        <f t="shared" si="40"/>
        <v>66</v>
      </c>
      <c r="N106" s="4">
        <f t="shared" si="41"/>
        <v>87.5</v>
      </c>
    </row>
  </sheetData>
  <sortState ref="B6:B12">
    <sortCondition ref="B6"/>
  </sortState>
  <mergeCells count="28">
    <mergeCell ref="A64:O64"/>
    <mergeCell ref="A18:O18"/>
    <mergeCell ref="B19:D19"/>
    <mergeCell ref="A31:O31"/>
    <mergeCell ref="A32:O32"/>
    <mergeCell ref="A33:O33"/>
    <mergeCell ref="A48:O48"/>
    <mergeCell ref="A49:O49"/>
    <mergeCell ref="A50:O50"/>
    <mergeCell ref="B51:D51"/>
    <mergeCell ref="A63:O63"/>
    <mergeCell ref="B34:D34"/>
    <mergeCell ref="B98:D98"/>
    <mergeCell ref="A65:O65"/>
    <mergeCell ref="B66:D66"/>
    <mergeCell ref="A78:O78"/>
    <mergeCell ref="A79:O79"/>
    <mergeCell ref="A80:O80"/>
    <mergeCell ref="B81:D81"/>
    <mergeCell ref="A95:O95"/>
    <mergeCell ref="A96:O96"/>
    <mergeCell ref="A97:O97"/>
    <mergeCell ref="A17:O17"/>
    <mergeCell ref="A1:O1"/>
    <mergeCell ref="A2:O2"/>
    <mergeCell ref="A3:O3"/>
    <mergeCell ref="B4:D4"/>
    <mergeCell ref="A16:O16"/>
  </mergeCells>
  <printOptions gridLine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19"/>
  <sheetViews>
    <sheetView topLeftCell="A103" workbookViewId="0">
      <selection activeCell="K114" sqref="K114:K119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8" t="s">
        <v>126</v>
      </c>
      <c r="C6" s="4">
        <v>77</v>
      </c>
      <c r="D6" s="4">
        <v>80</v>
      </c>
      <c r="E6" s="4">
        <v>76</v>
      </c>
      <c r="F6" s="5"/>
      <c r="G6" s="6">
        <f>SUM(C6:E6)</f>
        <v>233</v>
      </c>
      <c r="H6" s="4">
        <f>AVERAGE(C6:E6)</f>
        <v>77.666666666666671</v>
      </c>
      <c r="I6" s="4">
        <f>G6/12</f>
        <v>19.416666666666668</v>
      </c>
      <c r="J6" s="5"/>
      <c r="K6" s="4">
        <v>77</v>
      </c>
      <c r="L6" s="4">
        <f>K6*3</f>
        <v>231</v>
      </c>
      <c r="M6" s="4">
        <f>L6/4</f>
        <v>57.75</v>
      </c>
      <c r="N6" s="4">
        <f>M6+I6</f>
        <v>77.166666666666671</v>
      </c>
    </row>
    <row r="7" spans="1:15" x14ac:dyDescent="0.3">
      <c r="A7" s="2">
        <v>2</v>
      </c>
      <c r="B7" s="8" t="s">
        <v>130</v>
      </c>
      <c r="C7" s="4">
        <v>62</v>
      </c>
      <c r="D7" s="4">
        <v>52</v>
      </c>
      <c r="E7" s="4">
        <v>59</v>
      </c>
      <c r="F7" s="5"/>
      <c r="G7" s="6">
        <f t="shared" ref="G7:G11" si="0">SUM(C7:E7)</f>
        <v>173</v>
      </c>
      <c r="H7" s="4">
        <f t="shared" ref="H7:H11" si="1">AVERAGE(C7:E7)</f>
        <v>57.666666666666664</v>
      </c>
      <c r="I7" s="4">
        <f t="shared" ref="I7:I11" si="2">G7/12</f>
        <v>14.416666666666666</v>
      </c>
      <c r="J7" s="5"/>
      <c r="K7" s="4">
        <v>52</v>
      </c>
      <c r="L7" s="4">
        <f t="shared" ref="L7:L11" si="3">K7*3</f>
        <v>156</v>
      </c>
      <c r="M7" s="4">
        <f t="shared" ref="M7:M11" si="4">L7/4</f>
        <v>39</v>
      </c>
      <c r="N7" s="4">
        <f t="shared" ref="N7:N11" si="5">M7+I7</f>
        <v>53.416666666666664</v>
      </c>
    </row>
    <row r="8" spans="1:15" x14ac:dyDescent="0.3">
      <c r="A8" s="2">
        <v>3</v>
      </c>
      <c r="B8" s="8" t="s">
        <v>127</v>
      </c>
      <c r="C8" s="4">
        <v>60</v>
      </c>
      <c r="D8" s="4">
        <v>62</v>
      </c>
      <c r="E8" s="4">
        <v>65</v>
      </c>
      <c r="F8" s="5"/>
      <c r="G8" s="6">
        <f t="shared" si="0"/>
        <v>187</v>
      </c>
      <c r="H8" s="4">
        <f t="shared" si="1"/>
        <v>62.333333333333336</v>
      </c>
      <c r="I8" s="4">
        <f t="shared" si="2"/>
        <v>15.583333333333334</v>
      </c>
      <c r="J8" s="5"/>
      <c r="K8" s="4">
        <v>62</v>
      </c>
      <c r="L8" s="4">
        <f t="shared" si="3"/>
        <v>186</v>
      </c>
      <c r="M8" s="4">
        <f t="shared" si="4"/>
        <v>46.5</v>
      </c>
      <c r="N8" s="4">
        <f t="shared" si="5"/>
        <v>62.083333333333336</v>
      </c>
    </row>
    <row r="9" spans="1:15" x14ac:dyDescent="0.3">
      <c r="A9" s="2">
        <v>4</v>
      </c>
      <c r="B9" s="8" t="s">
        <v>128</v>
      </c>
      <c r="C9" s="4">
        <v>69</v>
      </c>
      <c r="D9" s="4">
        <v>65</v>
      </c>
      <c r="E9" s="4">
        <v>60</v>
      </c>
      <c r="F9" s="5"/>
      <c r="G9" s="6">
        <f t="shared" si="0"/>
        <v>194</v>
      </c>
      <c r="H9" s="4">
        <f t="shared" si="1"/>
        <v>64.666666666666671</v>
      </c>
      <c r="I9" s="4">
        <f t="shared" si="2"/>
        <v>16.166666666666668</v>
      </c>
      <c r="J9" s="5"/>
      <c r="K9" s="4">
        <v>62</v>
      </c>
      <c r="L9" s="4">
        <f t="shared" si="3"/>
        <v>186</v>
      </c>
      <c r="M9" s="4">
        <f t="shared" si="4"/>
        <v>46.5</v>
      </c>
      <c r="N9" s="4">
        <f t="shared" si="5"/>
        <v>62.666666666666671</v>
      </c>
    </row>
    <row r="10" spans="1:15" x14ac:dyDescent="0.3">
      <c r="A10" s="2">
        <v>5</v>
      </c>
      <c r="B10" s="8" t="s">
        <v>125</v>
      </c>
      <c r="C10" s="4">
        <v>96</v>
      </c>
      <c r="D10" s="4">
        <v>94</v>
      </c>
      <c r="E10" s="4">
        <v>95</v>
      </c>
      <c r="F10" s="5"/>
      <c r="G10" s="6">
        <f t="shared" si="0"/>
        <v>285</v>
      </c>
      <c r="H10" s="4">
        <f t="shared" si="1"/>
        <v>95</v>
      </c>
      <c r="I10" s="4">
        <f t="shared" si="2"/>
        <v>23.75</v>
      </c>
      <c r="J10" s="5"/>
      <c r="K10" s="4">
        <v>96</v>
      </c>
      <c r="L10" s="4">
        <f t="shared" si="3"/>
        <v>288</v>
      </c>
      <c r="M10" s="4">
        <f t="shared" si="4"/>
        <v>72</v>
      </c>
      <c r="N10" s="4">
        <f t="shared" si="5"/>
        <v>95.75</v>
      </c>
    </row>
    <row r="11" spans="1:15" x14ac:dyDescent="0.3">
      <c r="A11" s="2">
        <v>6</v>
      </c>
      <c r="B11" s="8" t="s">
        <v>129</v>
      </c>
      <c r="C11" s="4">
        <v>74</v>
      </c>
      <c r="D11" s="4">
        <v>75</v>
      </c>
      <c r="E11" s="4">
        <v>76</v>
      </c>
      <c r="F11" s="5"/>
      <c r="G11" s="6">
        <f t="shared" si="0"/>
        <v>225</v>
      </c>
      <c r="H11" s="4">
        <f t="shared" si="1"/>
        <v>75</v>
      </c>
      <c r="I11" s="4">
        <f t="shared" si="2"/>
        <v>18.75</v>
      </c>
      <c r="J11" s="5"/>
      <c r="K11" s="4">
        <v>77</v>
      </c>
      <c r="L11" s="4">
        <f t="shared" si="3"/>
        <v>231</v>
      </c>
      <c r="M11" s="4">
        <f t="shared" si="4"/>
        <v>57.75</v>
      </c>
      <c r="N11" s="4">
        <f t="shared" si="5"/>
        <v>76.5</v>
      </c>
    </row>
    <row r="15" spans="1:15" x14ac:dyDescent="0.3">
      <c r="A15" s="63" t="s">
        <v>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 spans="1:15" x14ac:dyDescent="0.3">
      <c r="A16" s="63" t="s">
        <v>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 spans="1:15" x14ac:dyDescent="0.3">
      <c r="A17" s="63" t="s">
        <v>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 spans="1:15" x14ac:dyDescent="0.3">
      <c r="B18" s="64" t="s">
        <v>44</v>
      </c>
      <c r="C18" s="64"/>
      <c r="D18" s="64"/>
    </row>
    <row r="19" spans="1:15" x14ac:dyDescent="0.3">
      <c r="C19" s="1" t="s">
        <v>4</v>
      </c>
      <c r="D19" s="1" t="s">
        <v>5</v>
      </c>
      <c r="E19" s="1" t="s">
        <v>6</v>
      </c>
      <c r="F19" s="1"/>
      <c r="G19" s="1" t="s">
        <v>7</v>
      </c>
      <c r="H19" s="1" t="s">
        <v>8</v>
      </c>
      <c r="I19" s="3">
        <v>0.25</v>
      </c>
      <c r="J19" s="1"/>
      <c r="K19" s="1" t="s">
        <v>9</v>
      </c>
      <c r="L19" s="1"/>
      <c r="M19" s="3">
        <v>0.75</v>
      </c>
      <c r="N19" s="1" t="s">
        <v>10</v>
      </c>
    </row>
    <row r="20" spans="1:15" x14ac:dyDescent="0.3">
      <c r="A20" s="2">
        <v>1</v>
      </c>
      <c r="B20" s="8" t="s">
        <v>126</v>
      </c>
      <c r="C20" s="4">
        <v>97</v>
      </c>
      <c r="D20" s="4">
        <v>97</v>
      </c>
      <c r="E20" s="4">
        <v>99</v>
      </c>
      <c r="F20" s="5"/>
      <c r="G20" s="6">
        <f>SUM(C20:E20)</f>
        <v>293</v>
      </c>
      <c r="H20" s="4">
        <f>AVERAGE(C20:E20)</f>
        <v>97.666666666666671</v>
      </c>
      <c r="I20" s="4">
        <f>G20/12</f>
        <v>24.416666666666668</v>
      </c>
      <c r="J20" s="5"/>
      <c r="K20" s="4"/>
      <c r="L20" s="4">
        <f>K20*3</f>
        <v>0</v>
      </c>
      <c r="M20" s="4">
        <f>L20/4</f>
        <v>0</v>
      </c>
      <c r="N20" s="4">
        <f>M20+I20</f>
        <v>24.416666666666668</v>
      </c>
    </row>
    <row r="21" spans="1:15" x14ac:dyDescent="0.3">
      <c r="A21" s="2">
        <v>2</v>
      </c>
      <c r="B21" s="8" t="s">
        <v>130</v>
      </c>
      <c r="C21" s="4">
        <v>82</v>
      </c>
      <c r="D21" s="4">
        <v>88</v>
      </c>
      <c r="E21" s="4">
        <v>88</v>
      </c>
      <c r="F21" s="5"/>
      <c r="G21" s="6">
        <f t="shared" ref="G21:G25" si="6">SUM(C21:E21)</f>
        <v>258</v>
      </c>
      <c r="H21" s="4">
        <f t="shared" ref="H21:H25" si="7">AVERAGE(C21:E21)</f>
        <v>86</v>
      </c>
      <c r="I21" s="4">
        <f t="shared" ref="I21:I25" si="8">G21/12</f>
        <v>21.5</v>
      </c>
      <c r="J21" s="5"/>
      <c r="K21" s="4"/>
      <c r="L21" s="4">
        <f t="shared" ref="L21:L25" si="9">K21*3</f>
        <v>0</v>
      </c>
      <c r="M21" s="4">
        <f t="shared" ref="M21:M25" si="10">L21/4</f>
        <v>0</v>
      </c>
      <c r="N21" s="4">
        <f t="shared" ref="N21:N25" si="11">M21+I21</f>
        <v>21.5</v>
      </c>
    </row>
    <row r="22" spans="1:15" x14ac:dyDescent="0.3">
      <c r="A22" s="2">
        <v>3</v>
      </c>
      <c r="B22" s="8" t="s">
        <v>127</v>
      </c>
      <c r="C22" s="4">
        <v>89</v>
      </c>
      <c r="D22" s="4">
        <v>88</v>
      </c>
      <c r="E22" s="4">
        <v>92</v>
      </c>
      <c r="F22" s="5"/>
      <c r="G22" s="6">
        <f t="shared" si="6"/>
        <v>269</v>
      </c>
      <c r="H22" s="4">
        <f t="shared" si="7"/>
        <v>89.666666666666671</v>
      </c>
      <c r="I22" s="4">
        <f t="shared" si="8"/>
        <v>22.416666666666668</v>
      </c>
      <c r="J22" s="5"/>
      <c r="K22" s="4"/>
      <c r="L22" s="4">
        <f t="shared" si="9"/>
        <v>0</v>
      </c>
      <c r="M22" s="4">
        <f t="shared" si="10"/>
        <v>0</v>
      </c>
      <c r="N22" s="4">
        <f t="shared" si="11"/>
        <v>22.416666666666668</v>
      </c>
    </row>
    <row r="23" spans="1:15" x14ac:dyDescent="0.3">
      <c r="A23" s="2">
        <v>4</v>
      </c>
      <c r="B23" s="8" t="s">
        <v>128</v>
      </c>
      <c r="C23" s="4">
        <v>88</v>
      </c>
      <c r="D23" s="4">
        <v>90</v>
      </c>
      <c r="E23" s="4">
        <v>92</v>
      </c>
      <c r="F23" s="5"/>
      <c r="G23" s="6">
        <f t="shared" si="6"/>
        <v>270</v>
      </c>
      <c r="H23" s="4">
        <f t="shared" si="7"/>
        <v>90</v>
      </c>
      <c r="I23" s="4">
        <f t="shared" si="8"/>
        <v>22.5</v>
      </c>
      <c r="J23" s="5"/>
      <c r="K23" s="4"/>
      <c r="L23" s="4">
        <f t="shared" si="9"/>
        <v>0</v>
      </c>
      <c r="M23" s="4">
        <f t="shared" si="10"/>
        <v>0</v>
      </c>
      <c r="N23" s="4">
        <f t="shared" si="11"/>
        <v>22.5</v>
      </c>
    </row>
    <row r="24" spans="1:15" x14ac:dyDescent="0.3">
      <c r="A24" s="2">
        <v>5</v>
      </c>
      <c r="B24" s="8" t="s">
        <v>125</v>
      </c>
      <c r="C24" s="4">
        <v>96</v>
      </c>
      <c r="D24" s="4">
        <v>96</v>
      </c>
      <c r="E24" s="4">
        <v>97</v>
      </c>
      <c r="F24" s="5"/>
      <c r="G24" s="6">
        <f t="shared" si="6"/>
        <v>289</v>
      </c>
      <c r="H24" s="4">
        <f t="shared" si="7"/>
        <v>96.333333333333329</v>
      </c>
      <c r="I24" s="4">
        <f t="shared" si="8"/>
        <v>24.083333333333332</v>
      </c>
      <c r="J24" s="5"/>
      <c r="K24" s="4"/>
      <c r="L24" s="4">
        <f t="shared" si="9"/>
        <v>0</v>
      </c>
      <c r="M24" s="4">
        <f t="shared" si="10"/>
        <v>0</v>
      </c>
      <c r="N24" s="4">
        <f t="shared" si="11"/>
        <v>24.083333333333332</v>
      </c>
    </row>
    <row r="25" spans="1:15" x14ac:dyDescent="0.3">
      <c r="A25" s="2">
        <v>6</v>
      </c>
      <c r="B25" s="8" t="s">
        <v>129</v>
      </c>
      <c r="C25" s="4">
        <v>92</v>
      </c>
      <c r="D25" s="4">
        <v>91</v>
      </c>
      <c r="E25" s="4">
        <v>97</v>
      </c>
      <c r="F25" s="5"/>
      <c r="G25" s="6">
        <f t="shared" si="6"/>
        <v>280</v>
      </c>
      <c r="H25" s="4">
        <f t="shared" si="7"/>
        <v>93.333333333333329</v>
      </c>
      <c r="I25" s="4">
        <f t="shared" si="8"/>
        <v>23.333333333333332</v>
      </c>
      <c r="J25" s="5"/>
      <c r="K25" s="4"/>
      <c r="L25" s="4">
        <f t="shared" si="9"/>
        <v>0</v>
      </c>
      <c r="M25" s="4">
        <f t="shared" si="10"/>
        <v>0</v>
      </c>
      <c r="N25" s="4">
        <f t="shared" si="11"/>
        <v>23.333333333333332</v>
      </c>
    </row>
    <row r="29" spans="1:15" x14ac:dyDescent="0.3">
      <c r="A29" s="63" t="s">
        <v>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 spans="1:15" x14ac:dyDescent="0.3">
      <c r="A30" s="63" t="s">
        <v>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</row>
    <row r="31" spans="1:15" x14ac:dyDescent="0.3">
      <c r="A31" s="63" t="s">
        <v>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1:15" x14ac:dyDescent="0.3">
      <c r="B32" s="64" t="s">
        <v>45</v>
      </c>
      <c r="C32" s="64"/>
      <c r="D32" s="64"/>
    </row>
    <row r="33" spans="1:15" x14ac:dyDescent="0.3">
      <c r="C33" s="1" t="s">
        <v>4</v>
      </c>
      <c r="D33" s="1" t="s">
        <v>5</v>
      </c>
      <c r="E33" s="1" t="s">
        <v>6</v>
      </c>
      <c r="F33" s="1"/>
      <c r="G33" s="1" t="s">
        <v>7</v>
      </c>
      <c r="H33" s="1" t="s">
        <v>8</v>
      </c>
      <c r="I33" s="3">
        <v>0.25</v>
      </c>
      <c r="J33" s="1"/>
      <c r="K33" s="1" t="s">
        <v>9</v>
      </c>
      <c r="L33" s="1"/>
      <c r="M33" s="3">
        <v>0.75</v>
      </c>
      <c r="N33" s="1" t="s">
        <v>10</v>
      </c>
    </row>
    <row r="34" spans="1:15" x14ac:dyDescent="0.3">
      <c r="A34" s="2">
        <v>1</v>
      </c>
      <c r="B34" s="8" t="s">
        <v>126</v>
      </c>
      <c r="C34" s="4">
        <v>88</v>
      </c>
      <c r="D34" s="4">
        <v>86</v>
      </c>
      <c r="E34" s="4">
        <v>84</v>
      </c>
      <c r="F34" s="5"/>
      <c r="G34" s="6">
        <f>SUM(C34:E34)</f>
        <v>258</v>
      </c>
      <c r="H34" s="4">
        <f>AVERAGE(C34:E34)</f>
        <v>86</v>
      </c>
      <c r="I34" s="4">
        <f>G34/12</f>
        <v>21.5</v>
      </c>
      <c r="J34" s="5"/>
      <c r="K34" s="4">
        <v>87</v>
      </c>
      <c r="L34" s="4">
        <f>K34*3</f>
        <v>261</v>
      </c>
      <c r="M34" s="4">
        <f>L34/4</f>
        <v>65.25</v>
      </c>
      <c r="N34" s="4">
        <f>M34+I34</f>
        <v>86.75</v>
      </c>
    </row>
    <row r="35" spans="1:15" x14ac:dyDescent="0.3">
      <c r="A35" s="2">
        <v>2</v>
      </c>
      <c r="B35" s="8" t="s">
        <v>130</v>
      </c>
      <c r="C35" s="4">
        <v>75</v>
      </c>
      <c r="D35" s="4">
        <v>80</v>
      </c>
      <c r="E35" s="4">
        <v>77</v>
      </c>
      <c r="F35" s="5"/>
      <c r="G35" s="6">
        <f t="shared" ref="G35:G39" si="12">SUM(C35:E35)</f>
        <v>232</v>
      </c>
      <c r="H35" s="4">
        <f t="shared" ref="H35:H39" si="13">AVERAGE(C35:E35)</f>
        <v>77.333333333333329</v>
      </c>
      <c r="I35" s="4">
        <f t="shared" ref="I35:I39" si="14">G35/12</f>
        <v>19.333333333333332</v>
      </c>
      <c r="J35" s="5"/>
      <c r="K35" s="4">
        <v>81</v>
      </c>
      <c r="L35" s="4">
        <f t="shared" ref="L35:L39" si="15">K35*3</f>
        <v>243</v>
      </c>
      <c r="M35" s="4">
        <f t="shared" ref="M35:M39" si="16">L35/4</f>
        <v>60.75</v>
      </c>
      <c r="N35" s="4">
        <f t="shared" ref="N35:N39" si="17">M35+I35</f>
        <v>80.083333333333329</v>
      </c>
    </row>
    <row r="36" spans="1:15" x14ac:dyDescent="0.3">
      <c r="A36" s="2">
        <v>3</v>
      </c>
      <c r="B36" s="8" t="s">
        <v>127</v>
      </c>
      <c r="C36" s="4">
        <v>81</v>
      </c>
      <c r="D36" s="4">
        <v>75</v>
      </c>
      <c r="E36" s="4">
        <v>76</v>
      </c>
      <c r="F36" s="5"/>
      <c r="G36" s="6">
        <f t="shared" si="12"/>
        <v>232</v>
      </c>
      <c r="H36" s="4">
        <f t="shared" si="13"/>
        <v>77.333333333333329</v>
      </c>
      <c r="I36" s="4">
        <f t="shared" si="14"/>
        <v>19.333333333333332</v>
      </c>
      <c r="J36" s="5"/>
      <c r="K36" s="4">
        <v>80</v>
      </c>
      <c r="L36" s="4">
        <f t="shared" si="15"/>
        <v>240</v>
      </c>
      <c r="M36" s="4">
        <f t="shared" si="16"/>
        <v>60</v>
      </c>
      <c r="N36" s="4">
        <f t="shared" si="17"/>
        <v>79.333333333333329</v>
      </c>
    </row>
    <row r="37" spans="1:15" x14ac:dyDescent="0.3">
      <c r="A37" s="2">
        <v>4</v>
      </c>
      <c r="B37" s="8" t="s">
        <v>128</v>
      </c>
      <c r="C37" s="4">
        <v>82</v>
      </c>
      <c r="D37" s="4">
        <v>81</v>
      </c>
      <c r="E37" s="4">
        <v>78</v>
      </c>
      <c r="F37" s="5"/>
      <c r="G37" s="6">
        <f t="shared" si="12"/>
        <v>241</v>
      </c>
      <c r="H37" s="4">
        <f t="shared" si="13"/>
        <v>80.333333333333329</v>
      </c>
      <c r="I37" s="4">
        <f t="shared" si="14"/>
        <v>20.083333333333332</v>
      </c>
      <c r="J37" s="5"/>
      <c r="K37" s="4">
        <v>80</v>
      </c>
      <c r="L37" s="4">
        <f t="shared" si="15"/>
        <v>240</v>
      </c>
      <c r="M37" s="4">
        <f t="shared" si="16"/>
        <v>60</v>
      </c>
      <c r="N37" s="4">
        <f t="shared" si="17"/>
        <v>80.083333333333329</v>
      </c>
    </row>
    <row r="38" spans="1:15" x14ac:dyDescent="0.3">
      <c r="A38" s="2">
        <v>5</v>
      </c>
      <c r="B38" s="8" t="s">
        <v>125</v>
      </c>
      <c r="C38" s="4">
        <v>91</v>
      </c>
      <c r="D38" s="4">
        <v>90</v>
      </c>
      <c r="E38" s="4">
        <v>88</v>
      </c>
      <c r="F38" s="5"/>
      <c r="G38" s="6">
        <f t="shared" si="12"/>
        <v>269</v>
      </c>
      <c r="H38" s="4">
        <f t="shared" si="13"/>
        <v>89.666666666666671</v>
      </c>
      <c r="I38" s="4">
        <f t="shared" si="14"/>
        <v>22.416666666666668</v>
      </c>
      <c r="J38" s="5"/>
      <c r="K38" s="4">
        <v>90</v>
      </c>
      <c r="L38" s="4">
        <f t="shared" si="15"/>
        <v>270</v>
      </c>
      <c r="M38" s="4">
        <f t="shared" si="16"/>
        <v>67.5</v>
      </c>
      <c r="N38" s="4">
        <f t="shared" si="17"/>
        <v>89.916666666666671</v>
      </c>
    </row>
    <row r="39" spans="1:15" x14ac:dyDescent="0.3">
      <c r="A39" s="2">
        <v>6</v>
      </c>
      <c r="B39" s="8" t="s">
        <v>129</v>
      </c>
      <c r="C39" s="4">
        <v>89</v>
      </c>
      <c r="D39" s="4">
        <v>86</v>
      </c>
      <c r="E39" s="4">
        <v>84</v>
      </c>
      <c r="F39" s="5"/>
      <c r="G39" s="6">
        <f t="shared" si="12"/>
        <v>259</v>
      </c>
      <c r="H39" s="4">
        <f t="shared" si="13"/>
        <v>86.333333333333329</v>
      </c>
      <c r="I39" s="4">
        <f t="shared" si="14"/>
        <v>21.583333333333332</v>
      </c>
      <c r="J39" s="5"/>
      <c r="K39" s="4">
        <v>88</v>
      </c>
      <c r="L39" s="4">
        <f t="shared" si="15"/>
        <v>264</v>
      </c>
      <c r="M39" s="4">
        <f t="shared" si="16"/>
        <v>66</v>
      </c>
      <c r="N39" s="4">
        <f t="shared" si="17"/>
        <v>87.583333333333329</v>
      </c>
    </row>
    <row r="41" spans="1:15" x14ac:dyDescent="0.3">
      <c r="C41" s="2">
        <f>AVERAGE(C34:C39)</f>
        <v>84.333333333333329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2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161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8" t="s">
        <v>126</v>
      </c>
      <c r="C53" s="4">
        <v>100</v>
      </c>
      <c r="D53" s="4">
        <v>95</v>
      </c>
      <c r="E53" s="4">
        <v>98</v>
      </c>
      <c r="F53" s="5"/>
      <c r="G53" s="6">
        <f>SUM(C53:E53)</f>
        <v>293</v>
      </c>
      <c r="H53" s="4">
        <f>AVERAGE(C53:E53)</f>
        <v>97.666666666666671</v>
      </c>
      <c r="I53" s="4">
        <f>G53/12</f>
        <v>24.416666666666668</v>
      </c>
      <c r="J53" s="5"/>
      <c r="K53" s="4">
        <v>97</v>
      </c>
      <c r="L53" s="4">
        <f>K53*3</f>
        <v>291</v>
      </c>
      <c r="M53" s="4">
        <f>L53/4</f>
        <v>72.75</v>
      </c>
      <c r="N53" s="4">
        <f>M53+I53</f>
        <v>97.166666666666671</v>
      </c>
    </row>
    <row r="54" spans="1:15" x14ac:dyDescent="0.3">
      <c r="A54" s="2">
        <v>2</v>
      </c>
      <c r="B54" s="8" t="s">
        <v>130</v>
      </c>
      <c r="C54" s="4">
        <v>81</v>
      </c>
      <c r="D54" s="4">
        <v>76</v>
      </c>
      <c r="E54" s="4">
        <v>75</v>
      </c>
      <c r="F54" s="5"/>
      <c r="G54" s="6">
        <f t="shared" ref="G54:G58" si="18">SUM(C54:E54)</f>
        <v>232</v>
      </c>
      <c r="H54" s="4">
        <f t="shared" ref="H54:H58" si="19">AVERAGE(C54:E54)</f>
        <v>77.333333333333329</v>
      </c>
      <c r="I54" s="4">
        <f t="shared" ref="I54:I58" si="20">G54/12</f>
        <v>19.333333333333332</v>
      </c>
      <c r="J54" s="5"/>
      <c r="K54" s="4">
        <v>73</v>
      </c>
      <c r="L54" s="4">
        <f t="shared" ref="L54:L58" si="21">K54*3</f>
        <v>219</v>
      </c>
      <c r="M54" s="4">
        <f t="shared" ref="M54:M58" si="22">L54/4</f>
        <v>54.75</v>
      </c>
      <c r="N54" s="4">
        <f t="shared" ref="N54:N58" si="23">M54+I54</f>
        <v>74.083333333333329</v>
      </c>
    </row>
    <row r="55" spans="1:15" x14ac:dyDescent="0.3">
      <c r="A55" s="2">
        <v>3</v>
      </c>
      <c r="B55" s="8" t="s">
        <v>127</v>
      </c>
      <c r="C55" s="4">
        <v>85</v>
      </c>
      <c r="D55" s="4">
        <v>80</v>
      </c>
      <c r="E55" s="4">
        <v>77</v>
      </c>
      <c r="F55" s="5"/>
      <c r="G55" s="6">
        <f t="shared" si="18"/>
        <v>242</v>
      </c>
      <c r="H55" s="4">
        <f t="shared" si="19"/>
        <v>80.666666666666671</v>
      </c>
      <c r="I55" s="4">
        <f t="shared" si="20"/>
        <v>20.166666666666668</v>
      </c>
      <c r="J55" s="5"/>
      <c r="K55" s="4">
        <v>80</v>
      </c>
      <c r="L55" s="4">
        <f t="shared" si="21"/>
        <v>240</v>
      </c>
      <c r="M55" s="4">
        <f t="shared" si="22"/>
        <v>60</v>
      </c>
      <c r="N55" s="4">
        <f t="shared" si="23"/>
        <v>80.166666666666671</v>
      </c>
    </row>
    <row r="56" spans="1:15" x14ac:dyDescent="0.3">
      <c r="A56" s="2">
        <v>4</v>
      </c>
      <c r="B56" s="8" t="s">
        <v>128</v>
      </c>
      <c r="C56" s="4">
        <v>84</v>
      </c>
      <c r="D56" s="4">
        <v>82</v>
      </c>
      <c r="E56" s="4">
        <v>80</v>
      </c>
      <c r="F56" s="5"/>
      <c r="G56" s="6">
        <f t="shared" si="18"/>
        <v>246</v>
      </c>
      <c r="H56" s="4">
        <f t="shared" si="19"/>
        <v>82</v>
      </c>
      <c r="I56" s="4">
        <f t="shared" si="20"/>
        <v>20.5</v>
      </c>
      <c r="J56" s="5"/>
      <c r="K56" s="4">
        <v>83</v>
      </c>
      <c r="L56" s="4">
        <f t="shared" si="21"/>
        <v>249</v>
      </c>
      <c r="M56" s="4">
        <f t="shared" si="22"/>
        <v>62.25</v>
      </c>
      <c r="N56" s="4">
        <f t="shared" si="23"/>
        <v>82.75</v>
      </c>
    </row>
    <row r="57" spans="1:15" x14ac:dyDescent="0.3">
      <c r="A57" s="2">
        <v>5</v>
      </c>
      <c r="B57" s="8" t="s">
        <v>125</v>
      </c>
      <c r="C57" s="4">
        <v>95</v>
      </c>
      <c r="D57" s="4">
        <v>90</v>
      </c>
      <c r="E57" s="4">
        <v>91</v>
      </c>
      <c r="F57" s="5"/>
      <c r="G57" s="6">
        <f t="shared" si="18"/>
        <v>276</v>
      </c>
      <c r="H57" s="4">
        <f t="shared" si="19"/>
        <v>92</v>
      </c>
      <c r="I57" s="4">
        <f t="shared" si="20"/>
        <v>23</v>
      </c>
      <c r="J57" s="5"/>
      <c r="K57" s="4">
        <v>91</v>
      </c>
      <c r="L57" s="4">
        <f t="shared" si="21"/>
        <v>273</v>
      </c>
      <c r="M57" s="4">
        <f t="shared" si="22"/>
        <v>68.25</v>
      </c>
      <c r="N57" s="4">
        <f t="shared" si="23"/>
        <v>91.25</v>
      </c>
    </row>
    <row r="58" spans="1:15" x14ac:dyDescent="0.3">
      <c r="A58" s="2">
        <v>6</v>
      </c>
      <c r="B58" s="8" t="s">
        <v>129</v>
      </c>
      <c r="C58" s="4">
        <v>84</v>
      </c>
      <c r="D58" s="4">
        <v>81</v>
      </c>
      <c r="E58" s="4">
        <v>78</v>
      </c>
      <c r="F58" s="5"/>
      <c r="G58" s="6">
        <f t="shared" si="18"/>
        <v>243</v>
      </c>
      <c r="H58" s="4">
        <f t="shared" si="19"/>
        <v>81</v>
      </c>
      <c r="I58" s="4">
        <f t="shared" si="20"/>
        <v>20.25</v>
      </c>
      <c r="J58" s="5"/>
      <c r="K58" s="4">
        <v>83</v>
      </c>
      <c r="L58" s="4">
        <f t="shared" si="21"/>
        <v>249</v>
      </c>
      <c r="M58" s="4">
        <f t="shared" si="22"/>
        <v>62.25</v>
      </c>
      <c r="N58" s="4">
        <f t="shared" si="23"/>
        <v>82.5</v>
      </c>
    </row>
    <row r="60" spans="1:15" x14ac:dyDescent="0.3">
      <c r="C60" s="2">
        <f>AVERAGE(C53:C58)</f>
        <v>88.166666666666671</v>
      </c>
    </row>
    <row r="62" spans="1:15" x14ac:dyDescent="0.3">
      <c r="A62" s="63" t="s">
        <v>0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1:15" x14ac:dyDescent="0.3">
      <c r="A63" s="63" t="s">
        <v>1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15" x14ac:dyDescent="0.3">
      <c r="A64" s="63" t="s">
        <v>2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1:15" x14ac:dyDescent="0.3">
      <c r="B65" s="64" t="s">
        <v>21</v>
      </c>
      <c r="C65" s="64"/>
      <c r="D65" s="64"/>
    </row>
    <row r="66" spans="1:15" x14ac:dyDescent="0.3">
      <c r="C66" s="1" t="s">
        <v>4</v>
      </c>
      <c r="D66" s="1" t="s">
        <v>5</v>
      </c>
      <c r="E66" s="1" t="s">
        <v>6</v>
      </c>
      <c r="F66" s="1"/>
      <c r="G66" s="1" t="s">
        <v>7</v>
      </c>
      <c r="H66" s="1" t="s">
        <v>8</v>
      </c>
      <c r="I66" s="3">
        <v>0.25</v>
      </c>
      <c r="J66" s="1"/>
      <c r="K66" s="1" t="s">
        <v>9</v>
      </c>
      <c r="L66" s="1"/>
      <c r="M66" s="3">
        <v>0.75</v>
      </c>
      <c r="N66" s="1" t="s">
        <v>10</v>
      </c>
    </row>
    <row r="67" spans="1:15" x14ac:dyDescent="0.3">
      <c r="A67" s="2">
        <v>1</v>
      </c>
      <c r="B67" s="8" t="s">
        <v>126</v>
      </c>
      <c r="C67" s="4">
        <v>83</v>
      </c>
      <c r="D67" s="4">
        <v>83</v>
      </c>
      <c r="E67" s="4">
        <v>80</v>
      </c>
      <c r="F67" s="5"/>
      <c r="G67" s="6">
        <f>SUM(C67:E67)</f>
        <v>246</v>
      </c>
      <c r="H67" s="4">
        <f>AVERAGE(C67:E67)</f>
        <v>82</v>
      </c>
      <c r="I67" s="4">
        <f>G67/12</f>
        <v>20.5</v>
      </c>
      <c r="J67" s="5"/>
      <c r="K67" s="4">
        <v>81</v>
      </c>
      <c r="L67" s="4">
        <f>K67*3</f>
        <v>243</v>
      </c>
      <c r="M67" s="4">
        <f>L67/4</f>
        <v>60.75</v>
      </c>
      <c r="N67" s="4">
        <f>M67+I67</f>
        <v>81.25</v>
      </c>
    </row>
    <row r="68" spans="1:15" x14ac:dyDescent="0.3">
      <c r="A68" s="2">
        <v>2</v>
      </c>
      <c r="B68" s="8" t="s">
        <v>130</v>
      </c>
      <c r="C68" s="4">
        <v>83</v>
      </c>
      <c r="D68" s="4">
        <v>80</v>
      </c>
      <c r="E68" s="4">
        <v>78</v>
      </c>
      <c r="F68" s="5"/>
      <c r="G68" s="6">
        <f t="shared" ref="G68:G72" si="24">SUM(C68:E68)</f>
        <v>241</v>
      </c>
      <c r="H68" s="4">
        <f t="shared" ref="H68:H72" si="25">AVERAGE(C68:E68)</f>
        <v>80.333333333333329</v>
      </c>
      <c r="I68" s="4">
        <f t="shared" ref="I68:I72" si="26">G68/12</f>
        <v>20.083333333333332</v>
      </c>
      <c r="J68" s="5"/>
      <c r="K68" s="4">
        <v>83</v>
      </c>
      <c r="L68" s="4">
        <f t="shared" ref="L68:L72" si="27">K68*3</f>
        <v>249</v>
      </c>
      <c r="M68" s="4">
        <f t="shared" ref="M68:M72" si="28">L68/4</f>
        <v>62.25</v>
      </c>
      <c r="N68" s="4">
        <f t="shared" ref="N68:N72" si="29">M68+I68</f>
        <v>82.333333333333329</v>
      </c>
    </row>
    <row r="69" spans="1:15" x14ac:dyDescent="0.3">
      <c r="A69" s="2">
        <v>3</v>
      </c>
      <c r="B69" s="8" t="s">
        <v>127</v>
      </c>
      <c r="C69" s="4">
        <v>69</v>
      </c>
      <c r="D69" s="4">
        <v>65</v>
      </c>
      <c r="E69" s="4">
        <v>75</v>
      </c>
      <c r="F69" s="5"/>
      <c r="G69" s="6">
        <f t="shared" si="24"/>
        <v>209</v>
      </c>
      <c r="H69" s="4">
        <f t="shared" si="25"/>
        <v>69.666666666666671</v>
      </c>
      <c r="I69" s="4">
        <f t="shared" si="26"/>
        <v>17.416666666666668</v>
      </c>
      <c r="J69" s="5"/>
      <c r="K69" s="4">
        <v>72</v>
      </c>
      <c r="L69" s="4">
        <f t="shared" si="27"/>
        <v>216</v>
      </c>
      <c r="M69" s="4">
        <f t="shared" si="28"/>
        <v>54</v>
      </c>
      <c r="N69" s="4">
        <f t="shared" si="29"/>
        <v>71.416666666666671</v>
      </c>
    </row>
    <row r="70" spans="1:15" x14ac:dyDescent="0.3">
      <c r="A70" s="2">
        <v>4</v>
      </c>
      <c r="B70" s="8" t="s">
        <v>128</v>
      </c>
      <c r="C70" s="4">
        <v>71</v>
      </c>
      <c r="D70" s="4">
        <v>72</v>
      </c>
      <c r="E70" s="4">
        <v>70</v>
      </c>
      <c r="F70" s="5"/>
      <c r="G70" s="6">
        <f t="shared" si="24"/>
        <v>213</v>
      </c>
      <c r="H70" s="4">
        <f t="shared" si="25"/>
        <v>71</v>
      </c>
      <c r="I70" s="4">
        <f t="shared" si="26"/>
        <v>17.75</v>
      </c>
      <c r="J70" s="5"/>
      <c r="K70" s="4">
        <v>65</v>
      </c>
      <c r="L70" s="4">
        <f t="shared" si="27"/>
        <v>195</v>
      </c>
      <c r="M70" s="4">
        <f t="shared" si="28"/>
        <v>48.75</v>
      </c>
      <c r="N70" s="4">
        <f t="shared" si="29"/>
        <v>66.5</v>
      </c>
    </row>
    <row r="71" spans="1:15" x14ac:dyDescent="0.3">
      <c r="A71" s="2">
        <v>5</v>
      </c>
      <c r="B71" s="8" t="s">
        <v>125</v>
      </c>
      <c r="C71" s="4">
        <v>91</v>
      </c>
      <c r="D71" s="4">
        <v>92</v>
      </c>
      <c r="E71" s="4">
        <v>90</v>
      </c>
      <c r="F71" s="5"/>
      <c r="G71" s="6">
        <f t="shared" si="24"/>
        <v>273</v>
      </c>
      <c r="H71" s="4">
        <f t="shared" si="25"/>
        <v>91</v>
      </c>
      <c r="I71" s="4">
        <f t="shared" si="26"/>
        <v>22.75</v>
      </c>
      <c r="J71" s="5"/>
      <c r="K71" s="4">
        <v>92</v>
      </c>
      <c r="L71" s="4">
        <f t="shared" si="27"/>
        <v>276</v>
      </c>
      <c r="M71" s="4">
        <f t="shared" si="28"/>
        <v>69</v>
      </c>
      <c r="N71" s="4">
        <f t="shared" si="29"/>
        <v>91.75</v>
      </c>
    </row>
    <row r="72" spans="1:15" x14ac:dyDescent="0.3">
      <c r="A72" s="2">
        <v>6</v>
      </c>
      <c r="B72" s="8" t="s">
        <v>129</v>
      </c>
      <c r="C72" s="4">
        <v>80</v>
      </c>
      <c r="D72" s="4">
        <v>82</v>
      </c>
      <c r="E72" s="4">
        <v>78</v>
      </c>
      <c r="F72" s="5"/>
      <c r="G72" s="6">
        <f t="shared" si="24"/>
        <v>240</v>
      </c>
      <c r="H72" s="4">
        <f t="shared" si="25"/>
        <v>80</v>
      </c>
      <c r="I72" s="4">
        <f t="shared" si="26"/>
        <v>20</v>
      </c>
      <c r="J72" s="5"/>
      <c r="K72" s="4">
        <v>82</v>
      </c>
      <c r="L72" s="4">
        <f t="shared" si="27"/>
        <v>246</v>
      </c>
      <c r="M72" s="4">
        <f t="shared" si="28"/>
        <v>61.5</v>
      </c>
      <c r="N72" s="4">
        <f t="shared" si="29"/>
        <v>81.5</v>
      </c>
    </row>
    <row r="74" spans="1:15" x14ac:dyDescent="0.3">
      <c r="C74" s="2">
        <f>AVERAGE(C67:C72)</f>
        <v>79.5</v>
      </c>
    </row>
    <row r="76" spans="1:15" x14ac:dyDescent="0.3">
      <c r="A76" s="63" t="s">
        <v>0</v>
      </c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1:15" x14ac:dyDescent="0.3">
      <c r="A77" s="63" t="s">
        <v>1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1:15" x14ac:dyDescent="0.3">
      <c r="A78" s="63" t="s">
        <v>2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1:15" x14ac:dyDescent="0.3">
      <c r="B79" s="64" t="s">
        <v>22</v>
      </c>
      <c r="C79" s="64"/>
      <c r="D79" s="64"/>
    </row>
    <row r="80" spans="1:15" x14ac:dyDescent="0.3">
      <c r="C80" s="1" t="s">
        <v>4</v>
      </c>
      <c r="D80" s="1" t="s">
        <v>5</v>
      </c>
      <c r="E80" s="1" t="s">
        <v>6</v>
      </c>
      <c r="F80" s="1"/>
      <c r="G80" s="1" t="s">
        <v>7</v>
      </c>
      <c r="H80" s="1" t="s">
        <v>8</v>
      </c>
      <c r="I80" s="3">
        <v>0.25</v>
      </c>
      <c r="J80" s="1"/>
      <c r="K80" s="1" t="s">
        <v>9</v>
      </c>
      <c r="L80" s="1"/>
      <c r="M80" s="3">
        <v>0.75</v>
      </c>
      <c r="N80" s="1" t="s">
        <v>10</v>
      </c>
    </row>
    <row r="81" spans="1:15" x14ac:dyDescent="0.3">
      <c r="A81" s="2">
        <v>1</v>
      </c>
      <c r="B81" s="8" t="s">
        <v>126</v>
      </c>
      <c r="C81" s="4">
        <v>88</v>
      </c>
      <c r="D81" s="4">
        <v>85</v>
      </c>
      <c r="E81" s="4">
        <v>86</v>
      </c>
      <c r="F81" s="5"/>
      <c r="G81" s="6">
        <f>SUM(C81:E81)</f>
        <v>259</v>
      </c>
      <c r="H81" s="4">
        <f>AVERAGE(C81:E81)</f>
        <v>86.333333333333329</v>
      </c>
      <c r="I81" s="4">
        <f>G81/12</f>
        <v>21.583333333333332</v>
      </c>
      <c r="J81" s="5"/>
      <c r="K81" s="4">
        <v>88</v>
      </c>
      <c r="L81" s="4">
        <f>K81*3</f>
        <v>264</v>
      </c>
      <c r="M81" s="4">
        <f>L81/4</f>
        <v>66</v>
      </c>
      <c r="N81" s="4">
        <f>M81+I81</f>
        <v>87.583333333333329</v>
      </c>
    </row>
    <row r="82" spans="1:15" x14ac:dyDescent="0.3">
      <c r="A82" s="2">
        <v>2</v>
      </c>
      <c r="B82" s="8" t="s">
        <v>130</v>
      </c>
      <c r="C82" s="4">
        <v>81</v>
      </c>
      <c r="D82" s="4">
        <v>77</v>
      </c>
      <c r="E82" s="4">
        <v>82</v>
      </c>
      <c r="F82" s="5"/>
      <c r="G82" s="6">
        <f t="shared" ref="G82:G86" si="30">SUM(C82:E82)</f>
        <v>240</v>
      </c>
      <c r="H82" s="4">
        <f t="shared" ref="H82:H86" si="31">AVERAGE(C82:E82)</f>
        <v>80</v>
      </c>
      <c r="I82" s="4">
        <f t="shared" ref="I82:I86" si="32">G82/12</f>
        <v>20</v>
      </c>
      <c r="J82" s="5"/>
      <c r="K82" s="4">
        <v>81</v>
      </c>
      <c r="L82" s="4">
        <f t="shared" ref="L82:L86" si="33">K82*3</f>
        <v>243</v>
      </c>
      <c r="M82" s="4">
        <f t="shared" ref="M82:M86" si="34">L82/4</f>
        <v>60.75</v>
      </c>
      <c r="N82" s="4">
        <f t="shared" ref="N82:N86" si="35">M82+I82</f>
        <v>80.75</v>
      </c>
    </row>
    <row r="83" spans="1:15" x14ac:dyDescent="0.3">
      <c r="A83" s="2">
        <v>3</v>
      </c>
      <c r="B83" s="8" t="s">
        <v>127</v>
      </c>
      <c r="C83" s="4">
        <v>82</v>
      </c>
      <c r="D83" s="4">
        <v>78</v>
      </c>
      <c r="E83" s="4">
        <v>77</v>
      </c>
      <c r="F83" s="5"/>
      <c r="G83" s="6">
        <f t="shared" si="30"/>
        <v>237</v>
      </c>
      <c r="H83" s="4">
        <f t="shared" si="31"/>
        <v>79</v>
      </c>
      <c r="I83" s="4">
        <f t="shared" si="32"/>
        <v>19.75</v>
      </c>
      <c r="J83" s="5"/>
      <c r="K83" s="4">
        <v>83</v>
      </c>
      <c r="L83" s="4">
        <f t="shared" si="33"/>
        <v>249</v>
      </c>
      <c r="M83" s="4">
        <f t="shared" si="34"/>
        <v>62.25</v>
      </c>
      <c r="N83" s="4">
        <f t="shared" si="35"/>
        <v>82</v>
      </c>
    </row>
    <row r="84" spans="1:15" x14ac:dyDescent="0.3">
      <c r="A84" s="2">
        <v>4</v>
      </c>
      <c r="B84" s="8" t="s">
        <v>128</v>
      </c>
      <c r="C84" s="4">
        <v>82</v>
      </c>
      <c r="D84" s="4">
        <v>80</v>
      </c>
      <c r="E84" s="4">
        <v>83</v>
      </c>
      <c r="F84" s="5"/>
      <c r="G84" s="6">
        <f t="shared" si="30"/>
        <v>245</v>
      </c>
      <c r="H84" s="4">
        <f t="shared" si="31"/>
        <v>81.666666666666671</v>
      </c>
      <c r="I84" s="4">
        <f t="shared" si="32"/>
        <v>20.416666666666668</v>
      </c>
      <c r="J84" s="5"/>
      <c r="K84" s="4">
        <v>87</v>
      </c>
      <c r="L84" s="4">
        <f t="shared" si="33"/>
        <v>261</v>
      </c>
      <c r="M84" s="4">
        <f t="shared" si="34"/>
        <v>65.25</v>
      </c>
      <c r="N84" s="4">
        <f t="shared" si="35"/>
        <v>85.666666666666671</v>
      </c>
    </row>
    <row r="85" spans="1:15" x14ac:dyDescent="0.3">
      <c r="A85" s="2">
        <v>5</v>
      </c>
      <c r="B85" s="8" t="s">
        <v>125</v>
      </c>
      <c r="C85" s="4">
        <v>90</v>
      </c>
      <c r="D85" s="4">
        <v>88</v>
      </c>
      <c r="E85" s="4">
        <v>91</v>
      </c>
      <c r="F85" s="5"/>
      <c r="G85" s="6">
        <f t="shared" si="30"/>
        <v>269</v>
      </c>
      <c r="H85" s="4">
        <f t="shared" si="31"/>
        <v>89.666666666666671</v>
      </c>
      <c r="I85" s="4">
        <f t="shared" si="32"/>
        <v>22.416666666666668</v>
      </c>
      <c r="J85" s="5"/>
      <c r="K85" s="4">
        <v>90</v>
      </c>
      <c r="L85" s="4">
        <f t="shared" si="33"/>
        <v>270</v>
      </c>
      <c r="M85" s="4">
        <f t="shared" si="34"/>
        <v>67.5</v>
      </c>
      <c r="N85" s="4">
        <f t="shared" si="35"/>
        <v>89.916666666666671</v>
      </c>
    </row>
    <row r="86" spans="1:15" x14ac:dyDescent="0.3">
      <c r="A86" s="2">
        <v>6</v>
      </c>
      <c r="B86" s="8" t="s">
        <v>129</v>
      </c>
      <c r="C86" s="4">
        <v>81</v>
      </c>
      <c r="D86" s="4">
        <v>75</v>
      </c>
      <c r="E86" s="4">
        <v>77</v>
      </c>
      <c r="F86" s="5"/>
      <c r="G86" s="6">
        <f t="shared" si="30"/>
        <v>233</v>
      </c>
      <c r="H86" s="4">
        <f t="shared" si="31"/>
        <v>77.666666666666671</v>
      </c>
      <c r="I86" s="4">
        <f t="shared" si="32"/>
        <v>19.416666666666668</v>
      </c>
      <c r="J86" s="5"/>
      <c r="K86" s="4">
        <v>81</v>
      </c>
      <c r="L86" s="4">
        <f t="shared" si="33"/>
        <v>243</v>
      </c>
      <c r="M86" s="4">
        <f t="shared" si="34"/>
        <v>60.75</v>
      </c>
      <c r="N86" s="4">
        <f t="shared" si="35"/>
        <v>80.166666666666671</v>
      </c>
    </row>
    <row r="88" spans="1:15" x14ac:dyDescent="0.3">
      <c r="C88" s="2">
        <f>AVERAGE(C81:C86)</f>
        <v>84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131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8" t="s">
        <v>126</v>
      </c>
      <c r="C100" s="4">
        <v>91</v>
      </c>
      <c r="D100" s="4">
        <v>92</v>
      </c>
      <c r="E100" s="4">
        <v>95</v>
      </c>
      <c r="F100" s="5"/>
      <c r="G100" s="6">
        <f>SUM(C100:E100)</f>
        <v>278</v>
      </c>
      <c r="H100" s="4">
        <f>AVERAGE(C100:E100)</f>
        <v>92.666666666666671</v>
      </c>
      <c r="I100" s="4">
        <f>G100/12</f>
        <v>23.166666666666668</v>
      </c>
      <c r="J100" s="5"/>
      <c r="K100" s="4">
        <v>93</v>
      </c>
      <c r="L100" s="4">
        <f>K100*3</f>
        <v>279</v>
      </c>
      <c r="M100" s="4">
        <f>L100/4</f>
        <v>69.75</v>
      </c>
      <c r="N100" s="4">
        <f>M100+I100</f>
        <v>92.916666666666671</v>
      </c>
    </row>
    <row r="101" spans="1:15" x14ac:dyDescent="0.3">
      <c r="A101" s="2">
        <v>2</v>
      </c>
      <c r="B101" s="8" t="s">
        <v>130</v>
      </c>
      <c r="C101" s="4">
        <v>78</v>
      </c>
      <c r="D101" s="4">
        <v>83</v>
      </c>
      <c r="E101" s="4">
        <v>82</v>
      </c>
      <c r="F101" s="5"/>
      <c r="G101" s="6">
        <f t="shared" ref="G101:G105" si="36">SUM(C101:E101)</f>
        <v>243</v>
      </c>
      <c r="H101" s="4">
        <f t="shared" ref="H101:H105" si="37">AVERAGE(C101:E101)</f>
        <v>81</v>
      </c>
      <c r="I101" s="4">
        <f t="shared" ref="I101:I105" si="38">G101/12</f>
        <v>20.25</v>
      </c>
      <c r="J101" s="5"/>
      <c r="K101" s="4">
        <v>82</v>
      </c>
      <c r="L101" s="4">
        <f t="shared" ref="L101:L105" si="39">K101*3</f>
        <v>246</v>
      </c>
      <c r="M101" s="4">
        <f t="shared" ref="M101:M105" si="40">L101/4</f>
        <v>61.5</v>
      </c>
      <c r="N101" s="4">
        <f t="shared" ref="N101:N105" si="41">M101+I101</f>
        <v>81.75</v>
      </c>
    </row>
    <row r="102" spans="1:15" x14ac:dyDescent="0.3">
      <c r="A102" s="2">
        <v>3</v>
      </c>
      <c r="B102" s="8" t="s">
        <v>127</v>
      </c>
      <c r="C102" s="4">
        <v>81</v>
      </c>
      <c r="D102" s="4">
        <v>84</v>
      </c>
      <c r="E102" s="4">
        <v>88</v>
      </c>
      <c r="F102" s="5"/>
      <c r="G102" s="6">
        <f t="shared" si="36"/>
        <v>253</v>
      </c>
      <c r="H102" s="4">
        <f t="shared" si="37"/>
        <v>84.333333333333329</v>
      </c>
      <c r="I102" s="4">
        <f t="shared" si="38"/>
        <v>21.083333333333332</v>
      </c>
      <c r="J102" s="5"/>
      <c r="K102" s="4">
        <v>84</v>
      </c>
      <c r="L102" s="4">
        <f t="shared" si="39"/>
        <v>252</v>
      </c>
      <c r="M102" s="4">
        <f t="shared" si="40"/>
        <v>63</v>
      </c>
      <c r="N102" s="4">
        <f t="shared" si="41"/>
        <v>84.083333333333329</v>
      </c>
    </row>
    <row r="103" spans="1:15" x14ac:dyDescent="0.3">
      <c r="A103" s="2">
        <v>4</v>
      </c>
      <c r="B103" s="8" t="s">
        <v>128</v>
      </c>
      <c r="C103" s="4">
        <v>83</v>
      </c>
      <c r="D103" s="4">
        <v>85</v>
      </c>
      <c r="E103" s="4">
        <v>87</v>
      </c>
      <c r="F103" s="5"/>
      <c r="G103" s="6">
        <f t="shared" si="36"/>
        <v>255</v>
      </c>
      <c r="H103" s="4">
        <f t="shared" si="37"/>
        <v>85</v>
      </c>
      <c r="I103" s="4">
        <f t="shared" si="38"/>
        <v>21.25</v>
      </c>
      <c r="J103" s="5"/>
      <c r="K103" s="4">
        <v>86</v>
      </c>
      <c r="L103" s="4">
        <f t="shared" si="39"/>
        <v>258</v>
      </c>
      <c r="M103" s="4">
        <f t="shared" si="40"/>
        <v>64.5</v>
      </c>
      <c r="N103" s="4">
        <f t="shared" si="41"/>
        <v>85.75</v>
      </c>
    </row>
    <row r="104" spans="1:15" x14ac:dyDescent="0.3">
      <c r="A104" s="2">
        <v>5</v>
      </c>
      <c r="B104" s="8" t="s">
        <v>125</v>
      </c>
      <c r="C104" s="4">
        <v>98</v>
      </c>
      <c r="D104" s="4">
        <v>100</v>
      </c>
      <c r="E104" s="4">
        <v>100</v>
      </c>
      <c r="F104" s="5"/>
      <c r="G104" s="6">
        <f t="shared" si="36"/>
        <v>298</v>
      </c>
      <c r="H104" s="4">
        <f t="shared" si="37"/>
        <v>99.333333333333329</v>
      </c>
      <c r="I104" s="4">
        <f t="shared" si="38"/>
        <v>24.833333333333332</v>
      </c>
      <c r="J104" s="5"/>
      <c r="K104" s="4">
        <v>100</v>
      </c>
      <c r="L104" s="4">
        <f t="shared" si="39"/>
        <v>300</v>
      </c>
      <c r="M104" s="4">
        <f t="shared" si="40"/>
        <v>75</v>
      </c>
      <c r="N104" s="4">
        <f t="shared" si="41"/>
        <v>99.833333333333329</v>
      </c>
    </row>
    <row r="105" spans="1:15" x14ac:dyDescent="0.3">
      <c r="A105" s="2">
        <v>6</v>
      </c>
      <c r="B105" s="8" t="s">
        <v>129</v>
      </c>
      <c r="C105" s="4">
        <v>85</v>
      </c>
      <c r="D105" s="4">
        <v>86</v>
      </c>
      <c r="E105" s="4">
        <v>90</v>
      </c>
      <c r="F105" s="5"/>
      <c r="G105" s="6">
        <f t="shared" si="36"/>
        <v>261</v>
      </c>
      <c r="H105" s="4">
        <f t="shared" si="37"/>
        <v>87</v>
      </c>
      <c r="I105" s="4">
        <f t="shared" si="38"/>
        <v>21.75</v>
      </c>
      <c r="J105" s="5"/>
      <c r="K105" s="4">
        <v>89</v>
      </c>
      <c r="L105" s="4">
        <f t="shared" si="39"/>
        <v>267</v>
      </c>
      <c r="M105" s="4">
        <f t="shared" si="40"/>
        <v>66.75</v>
      </c>
      <c r="N105" s="4">
        <f t="shared" si="41"/>
        <v>88.5</v>
      </c>
    </row>
    <row r="109" spans="1:15" x14ac:dyDescent="0.3">
      <c r="A109" s="63" t="s">
        <v>0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1:15" x14ac:dyDescent="0.3">
      <c r="A110" s="63" t="s">
        <v>1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1:15" x14ac:dyDescent="0.3">
      <c r="A111" s="63" t="s">
        <v>2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1:15" x14ac:dyDescent="0.3">
      <c r="B112" s="64" t="s">
        <v>26</v>
      </c>
      <c r="C112" s="64"/>
      <c r="D112" s="64"/>
    </row>
    <row r="113" spans="1:14" x14ac:dyDescent="0.3">
      <c r="C113" s="1" t="s">
        <v>4</v>
      </c>
      <c r="D113" s="1" t="s">
        <v>5</v>
      </c>
      <c r="E113" s="1" t="s">
        <v>6</v>
      </c>
      <c r="F113" s="1"/>
      <c r="G113" s="1" t="s">
        <v>7</v>
      </c>
      <c r="H113" s="1" t="s">
        <v>8</v>
      </c>
      <c r="I113" s="3">
        <v>0.25</v>
      </c>
      <c r="J113" s="1"/>
      <c r="K113" s="1" t="s">
        <v>9</v>
      </c>
      <c r="L113" s="1"/>
      <c r="M113" s="3">
        <v>0.75</v>
      </c>
      <c r="N113" s="1" t="s">
        <v>10</v>
      </c>
    </row>
    <row r="114" spans="1:14" x14ac:dyDescent="0.3">
      <c r="A114" s="2">
        <v>1</v>
      </c>
      <c r="B114" s="8" t="s">
        <v>126</v>
      </c>
      <c r="C114" s="4">
        <v>83</v>
      </c>
      <c r="D114" s="4">
        <v>80</v>
      </c>
      <c r="E114" s="4">
        <v>79</v>
      </c>
      <c r="F114" s="5"/>
      <c r="G114" s="6">
        <f>SUM(C114:E114)</f>
        <v>242</v>
      </c>
      <c r="H114" s="4">
        <f>AVERAGE(C114:E114)</f>
        <v>80.666666666666671</v>
      </c>
      <c r="I114" s="4">
        <f>G114/12</f>
        <v>20.166666666666668</v>
      </c>
      <c r="J114" s="5"/>
      <c r="K114" s="4">
        <v>83</v>
      </c>
      <c r="L114" s="4">
        <f>K114*3</f>
        <v>249</v>
      </c>
      <c r="M114" s="4">
        <f>L114/4</f>
        <v>62.25</v>
      </c>
      <c r="N114" s="4">
        <f>M114+I114</f>
        <v>82.416666666666671</v>
      </c>
    </row>
    <row r="115" spans="1:14" x14ac:dyDescent="0.3">
      <c r="A115" s="2">
        <v>2</v>
      </c>
      <c r="B115" s="8" t="s">
        <v>130</v>
      </c>
      <c r="C115" s="4">
        <v>69</v>
      </c>
      <c r="D115" s="4">
        <v>62</v>
      </c>
      <c r="E115" s="4">
        <v>62</v>
      </c>
      <c r="F115" s="5"/>
      <c r="G115" s="6">
        <f t="shared" ref="G115:G119" si="42">SUM(C115:E115)</f>
        <v>193</v>
      </c>
      <c r="H115" s="4">
        <f t="shared" ref="H115:H119" si="43">AVERAGE(C115:E115)</f>
        <v>64.333333333333329</v>
      </c>
      <c r="I115" s="4">
        <f t="shared" ref="I115:I119" si="44">G115/12</f>
        <v>16.083333333333332</v>
      </c>
      <c r="J115" s="5"/>
      <c r="K115" s="4">
        <v>67</v>
      </c>
      <c r="L115" s="4">
        <f t="shared" ref="L115:L119" si="45">K115*3</f>
        <v>201</v>
      </c>
      <c r="M115" s="4">
        <f t="shared" ref="M115:M119" si="46">L115/4</f>
        <v>50.25</v>
      </c>
      <c r="N115" s="4">
        <f t="shared" ref="N115:N119" si="47">M115+I115</f>
        <v>66.333333333333329</v>
      </c>
    </row>
    <row r="116" spans="1:14" x14ac:dyDescent="0.3">
      <c r="A116" s="2">
        <v>3</v>
      </c>
      <c r="B116" s="8" t="s">
        <v>127</v>
      </c>
      <c r="C116" s="4">
        <v>71</v>
      </c>
      <c r="D116" s="4">
        <v>69</v>
      </c>
      <c r="E116" s="4">
        <v>66</v>
      </c>
      <c r="F116" s="5"/>
      <c r="G116" s="6">
        <f t="shared" si="42"/>
        <v>206</v>
      </c>
      <c r="H116" s="4">
        <f t="shared" si="43"/>
        <v>68.666666666666671</v>
      </c>
      <c r="I116" s="4">
        <f t="shared" si="44"/>
        <v>17.166666666666668</v>
      </c>
      <c r="J116" s="5"/>
      <c r="K116" s="4">
        <v>64</v>
      </c>
      <c r="L116" s="4">
        <f t="shared" si="45"/>
        <v>192</v>
      </c>
      <c r="M116" s="4">
        <f t="shared" si="46"/>
        <v>48</v>
      </c>
      <c r="N116" s="4">
        <f t="shared" si="47"/>
        <v>65.166666666666671</v>
      </c>
    </row>
    <row r="117" spans="1:14" x14ac:dyDescent="0.3">
      <c r="A117" s="2">
        <v>4</v>
      </c>
      <c r="B117" s="8" t="s">
        <v>128</v>
      </c>
      <c r="C117" s="4">
        <v>73</v>
      </c>
      <c r="D117" s="4">
        <v>71</v>
      </c>
      <c r="E117" s="4">
        <v>69</v>
      </c>
      <c r="F117" s="5"/>
      <c r="G117" s="6">
        <f t="shared" si="42"/>
        <v>213</v>
      </c>
      <c r="H117" s="4">
        <f t="shared" si="43"/>
        <v>71</v>
      </c>
      <c r="I117" s="4">
        <f t="shared" si="44"/>
        <v>17.75</v>
      </c>
      <c r="J117" s="5"/>
      <c r="K117" s="4">
        <v>75</v>
      </c>
      <c r="L117" s="4">
        <f t="shared" si="45"/>
        <v>225</v>
      </c>
      <c r="M117" s="4">
        <f t="shared" si="46"/>
        <v>56.25</v>
      </c>
      <c r="N117" s="4">
        <f t="shared" si="47"/>
        <v>74</v>
      </c>
    </row>
    <row r="118" spans="1:14" x14ac:dyDescent="0.3">
      <c r="A118" s="2">
        <v>5</v>
      </c>
      <c r="B118" s="8" t="s">
        <v>125</v>
      </c>
      <c r="C118" s="4">
        <v>86</v>
      </c>
      <c r="D118" s="4">
        <v>84</v>
      </c>
      <c r="E118" s="4">
        <v>85</v>
      </c>
      <c r="F118" s="5"/>
      <c r="G118" s="6">
        <f t="shared" si="42"/>
        <v>255</v>
      </c>
      <c r="H118" s="4">
        <f t="shared" si="43"/>
        <v>85</v>
      </c>
      <c r="I118" s="4">
        <f t="shared" si="44"/>
        <v>21.25</v>
      </c>
      <c r="J118" s="5"/>
      <c r="K118" s="4">
        <v>87</v>
      </c>
      <c r="L118" s="4">
        <f t="shared" si="45"/>
        <v>261</v>
      </c>
      <c r="M118" s="4">
        <f t="shared" si="46"/>
        <v>65.25</v>
      </c>
      <c r="N118" s="4">
        <f t="shared" si="47"/>
        <v>86.5</v>
      </c>
    </row>
    <row r="119" spans="1:14" x14ac:dyDescent="0.3">
      <c r="A119" s="2">
        <v>6</v>
      </c>
      <c r="B119" s="8" t="s">
        <v>129</v>
      </c>
      <c r="C119" s="4">
        <v>75</v>
      </c>
      <c r="D119" s="4">
        <v>70</v>
      </c>
      <c r="E119" s="4">
        <v>72</v>
      </c>
      <c r="F119" s="5"/>
      <c r="G119" s="6">
        <f t="shared" si="42"/>
        <v>217</v>
      </c>
      <c r="H119" s="4">
        <f t="shared" si="43"/>
        <v>72.333333333333329</v>
      </c>
      <c r="I119" s="4">
        <f t="shared" si="44"/>
        <v>18.083333333333332</v>
      </c>
      <c r="J119" s="5"/>
      <c r="K119" s="4">
        <v>76</v>
      </c>
      <c r="L119" s="4">
        <f t="shared" si="45"/>
        <v>228</v>
      </c>
      <c r="M119" s="4">
        <f t="shared" si="46"/>
        <v>57</v>
      </c>
      <c r="N119" s="4">
        <f t="shared" si="47"/>
        <v>75.083333333333329</v>
      </c>
    </row>
  </sheetData>
  <sortState ref="B6:B11">
    <sortCondition ref="B6"/>
  </sortState>
  <mergeCells count="32">
    <mergeCell ref="A48:O48"/>
    <mergeCell ref="A63:O63"/>
    <mergeCell ref="A76:O76"/>
    <mergeCell ref="A77:O77"/>
    <mergeCell ref="A78:O78"/>
    <mergeCell ref="B79:D79"/>
    <mergeCell ref="A64:O64"/>
    <mergeCell ref="B65:D65"/>
    <mergeCell ref="A110:O110"/>
    <mergeCell ref="A111:O111"/>
    <mergeCell ref="B112:D112"/>
    <mergeCell ref="A95:O95"/>
    <mergeCell ref="A109:O109"/>
    <mergeCell ref="A96:O96"/>
    <mergeCell ref="A97:O97"/>
    <mergeCell ref="B98:D98"/>
    <mergeCell ref="A1:O1"/>
    <mergeCell ref="A2:O2"/>
    <mergeCell ref="A3:O3"/>
    <mergeCell ref="B4:D4"/>
    <mergeCell ref="A62:O62"/>
    <mergeCell ref="A16:O16"/>
    <mergeCell ref="A29:O29"/>
    <mergeCell ref="A30:O30"/>
    <mergeCell ref="A31:O31"/>
    <mergeCell ref="B32:D32"/>
    <mergeCell ref="B51:D51"/>
    <mergeCell ref="A15:O15"/>
    <mergeCell ref="A17:O17"/>
    <mergeCell ref="B18:D18"/>
    <mergeCell ref="A49:O49"/>
    <mergeCell ref="A50:O50"/>
  </mergeCells>
  <printOptions gridLines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186"/>
  <sheetViews>
    <sheetView topLeftCell="A165" workbookViewId="0">
      <selection activeCell="K185" sqref="K185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142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7" t="s">
        <v>158</v>
      </c>
      <c r="C6" s="4">
        <v>28</v>
      </c>
      <c r="D6" s="4">
        <v>27</v>
      </c>
      <c r="E6" s="4">
        <v>39</v>
      </c>
      <c r="F6" s="5"/>
      <c r="G6" s="6">
        <f>SUM(C6:E6)</f>
        <v>94</v>
      </c>
      <c r="H6" s="4">
        <f>AVERAGE(C6:E6)</f>
        <v>31.333333333333332</v>
      </c>
      <c r="I6" s="4">
        <f>G6/12</f>
        <v>7.833333333333333</v>
      </c>
      <c r="J6" s="5"/>
      <c r="K6" s="4">
        <v>45</v>
      </c>
      <c r="L6" s="4">
        <f>K6*3</f>
        <v>135</v>
      </c>
      <c r="M6" s="4">
        <f>L6/4</f>
        <v>33.75</v>
      </c>
      <c r="N6" s="4">
        <f>M6+I6</f>
        <v>41.583333333333336</v>
      </c>
    </row>
    <row r="7" spans="1:15" x14ac:dyDescent="0.3">
      <c r="A7" s="2">
        <v>2</v>
      </c>
      <c r="B7" s="7" t="s">
        <v>154</v>
      </c>
      <c r="C7" s="4">
        <v>39</v>
      </c>
      <c r="D7" s="4">
        <v>39</v>
      </c>
      <c r="E7" s="4">
        <v>42</v>
      </c>
      <c r="F7" s="5"/>
      <c r="G7" s="6">
        <f t="shared" ref="G7:G13" si="0">SUM(C7:E7)</f>
        <v>120</v>
      </c>
      <c r="H7" s="4">
        <f t="shared" ref="H7:H13" si="1">AVERAGE(C7:E7)</f>
        <v>40</v>
      </c>
      <c r="I7" s="4">
        <f t="shared" ref="I7:I13" si="2">G7/12</f>
        <v>10</v>
      </c>
      <c r="J7" s="5"/>
      <c r="K7" s="4">
        <v>39</v>
      </c>
      <c r="L7" s="4">
        <f t="shared" ref="L7:L21" si="3">K7*3</f>
        <v>117</v>
      </c>
      <c r="M7" s="4">
        <f t="shared" ref="M7:M21" si="4">L7/4</f>
        <v>29.25</v>
      </c>
      <c r="N7" s="4">
        <f t="shared" ref="N7:N21" si="5">M7+I7</f>
        <v>39.25</v>
      </c>
    </row>
    <row r="8" spans="1:15" x14ac:dyDescent="0.3">
      <c r="A8" s="2">
        <v>3</v>
      </c>
      <c r="B8" s="7" t="s">
        <v>147</v>
      </c>
      <c r="C8" s="4">
        <v>25</v>
      </c>
      <c r="D8" s="4">
        <v>41</v>
      </c>
      <c r="E8" s="4">
        <v>38</v>
      </c>
      <c r="F8" s="5"/>
      <c r="G8" s="6">
        <f t="shared" si="0"/>
        <v>104</v>
      </c>
      <c r="H8" s="4">
        <f t="shared" si="1"/>
        <v>34.666666666666664</v>
      </c>
      <c r="I8" s="4">
        <f t="shared" si="2"/>
        <v>8.6666666666666661</v>
      </c>
      <c r="J8" s="5"/>
      <c r="K8" s="4">
        <v>44</v>
      </c>
      <c r="L8" s="4">
        <f t="shared" si="3"/>
        <v>132</v>
      </c>
      <c r="M8" s="4">
        <f t="shared" si="4"/>
        <v>33</v>
      </c>
      <c r="N8" s="4">
        <f t="shared" si="5"/>
        <v>41.666666666666664</v>
      </c>
    </row>
    <row r="9" spans="1:15" x14ac:dyDescent="0.3">
      <c r="A9" s="2">
        <v>4</v>
      </c>
      <c r="B9" s="7" t="s">
        <v>152</v>
      </c>
      <c r="C9" s="4">
        <v>45</v>
      </c>
      <c r="D9" s="4">
        <v>28</v>
      </c>
      <c r="E9" s="4">
        <v>37</v>
      </c>
      <c r="F9" s="5"/>
      <c r="G9" s="6">
        <f t="shared" si="0"/>
        <v>110</v>
      </c>
      <c r="H9" s="4">
        <f t="shared" si="1"/>
        <v>36.666666666666664</v>
      </c>
      <c r="I9" s="4">
        <f t="shared" si="2"/>
        <v>9.1666666666666661</v>
      </c>
      <c r="J9" s="5"/>
      <c r="K9" s="4">
        <v>38</v>
      </c>
      <c r="L9" s="4">
        <f t="shared" si="3"/>
        <v>114</v>
      </c>
      <c r="M9" s="4">
        <f t="shared" si="4"/>
        <v>28.5</v>
      </c>
      <c r="N9" s="4">
        <f t="shared" si="5"/>
        <v>37.666666666666664</v>
      </c>
    </row>
    <row r="10" spans="1:15" x14ac:dyDescent="0.3">
      <c r="A10" s="2">
        <v>5</v>
      </c>
      <c r="B10" s="7" t="s">
        <v>144</v>
      </c>
      <c r="C10" s="4">
        <v>55</v>
      </c>
      <c r="D10" s="4">
        <v>33</v>
      </c>
      <c r="E10" s="4">
        <v>38</v>
      </c>
      <c r="F10" s="5"/>
      <c r="G10" s="6">
        <f t="shared" si="0"/>
        <v>126</v>
      </c>
      <c r="H10" s="4">
        <f t="shared" si="1"/>
        <v>42</v>
      </c>
      <c r="I10" s="4">
        <f t="shared" si="2"/>
        <v>10.5</v>
      </c>
      <c r="J10" s="5"/>
      <c r="K10" s="4">
        <v>45</v>
      </c>
      <c r="L10" s="4">
        <f t="shared" si="3"/>
        <v>135</v>
      </c>
      <c r="M10" s="4">
        <f t="shared" si="4"/>
        <v>33.75</v>
      </c>
      <c r="N10" s="4">
        <f t="shared" si="5"/>
        <v>44.25</v>
      </c>
    </row>
    <row r="11" spans="1:15" x14ac:dyDescent="0.3">
      <c r="A11" s="2">
        <v>6</v>
      </c>
      <c r="B11" s="7" t="s">
        <v>157</v>
      </c>
      <c r="C11" s="4">
        <v>62</v>
      </c>
      <c r="D11" s="4">
        <v>70</v>
      </c>
      <c r="E11" s="4">
        <v>72</v>
      </c>
      <c r="F11" s="5"/>
      <c r="G11" s="6">
        <f t="shared" si="0"/>
        <v>204</v>
      </c>
      <c r="H11" s="4">
        <f t="shared" si="1"/>
        <v>68</v>
      </c>
      <c r="I11" s="4">
        <f t="shared" si="2"/>
        <v>17</v>
      </c>
      <c r="J11" s="5"/>
      <c r="K11" s="4">
        <v>52</v>
      </c>
      <c r="L11" s="4">
        <f t="shared" si="3"/>
        <v>156</v>
      </c>
      <c r="M11" s="4">
        <f t="shared" si="4"/>
        <v>39</v>
      </c>
      <c r="N11" s="4">
        <f t="shared" si="5"/>
        <v>56</v>
      </c>
    </row>
    <row r="12" spans="1:15" x14ac:dyDescent="0.3">
      <c r="A12" s="2">
        <v>7</v>
      </c>
      <c r="B12" s="7" t="s">
        <v>155</v>
      </c>
      <c r="C12" s="4">
        <v>39</v>
      </c>
      <c r="D12" s="4">
        <v>32</v>
      </c>
      <c r="E12" s="4">
        <v>30</v>
      </c>
      <c r="F12" s="5"/>
      <c r="G12" s="6">
        <f t="shared" si="0"/>
        <v>101</v>
      </c>
      <c r="H12" s="4">
        <f t="shared" si="1"/>
        <v>33.666666666666664</v>
      </c>
      <c r="I12" s="4">
        <f t="shared" si="2"/>
        <v>8.4166666666666661</v>
      </c>
      <c r="J12" s="5"/>
      <c r="K12" s="4">
        <v>39</v>
      </c>
      <c r="L12" s="4">
        <f t="shared" si="3"/>
        <v>117</v>
      </c>
      <c r="M12" s="4">
        <f t="shared" si="4"/>
        <v>29.25</v>
      </c>
      <c r="N12" s="4">
        <f t="shared" si="5"/>
        <v>37.666666666666664</v>
      </c>
    </row>
    <row r="13" spans="1:15" x14ac:dyDescent="0.3">
      <c r="A13" s="2">
        <v>8</v>
      </c>
      <c r="B13" s="7" t="s">
        <v>149</v>
      </c>
      <c r="C13" s="4">
        <v>54</v>
      </c>
      <c r="D13" s="4">
        <v>54</v>
      </c>
      <c r="E13" s="4">
        <v>50</v>
      </c>
      <c r="F13" s="5"/>
      <c r="G13" s="6">
        <f t="shared" si="0"/>
        <v>158</v>
      </c>
      <c r="H13" s="4">
        <f t="shared" si="1"/>
        <v>52.666666666666664</v>
      </c>
      <c r="I13" s="4">
        <f t="shared" si="2"/>
        <v>13.166666666666666</v>
      </c>
      <c r="J13" s="5"/>
      <c r="K13" s="4">
        <v>45</v>
      </c>
      <c r="L13" s="4">
        <f t="shared" si="3"/>
        <v>135</v>
      </c>
      <c r="M13" s="4">
        <f t="shared" si="4"/>
        <v>33.75</v>
      </c>
      <c r="N13" s="4">
        <f t="shared" si="5"/>
        <v>46.916666666666664</v>
      </c>
    </row>
    <row r="14" spans="1:15" x14ac:dyDescent="0.3">
      <c r="A14" s="2">
        <v>9</v>
      </c>
      <c r="B14" s="7" t="s">
        <v>143</v>
      </c>
      <c r="C14" s="4">
        <v>69</v>
      </c>
      <c r="D14" s="4">
        <v>70</v>
      </c>
      <c r="E14" s="4">
        <v>65</v>
      </c>
      <c r="F14" s="5"/>
      <c r="G14" s="6">
        <f t="shared" ref="G14:G21" si="6">SUM(C14:E14)</f>
        <v>204</v>
      </c>
      <c r="H14" s="4">
        <f t="shared" ref="H14:H21" si="7">AVERAGE(C14:E14)</f>
        <v>68</v>
      </c>
      <c r="I14" s="4">
        <f t="shared" ref="I14:I21" si="8">G14/12</f>
        <v>17</v>
      </c>
      <c r="J14" s="5"/>
      <c r="K14" s="4">
        <v>55</v>
      </c>
      <c r="L14" s="4">
        <f t="shared" si="3"/>
        <v>165</v>
      </c>
      <c r="M14" s="4">
        <f t="shared" si="4"/>
        <v>41.25</v>
      </c>
      <c r="N14" s="4">
        <f t="shared" si="5"/>
        <v>58.25</v>
      </c>
    </row>
    <row r="15" spans="1:15" x14ac:dyDescent="0.3">
      <c r="A15" s="2">
        <v>10</v>
      </c>
      <c r="B15" s="7" t="s">
        <v>146</v>
      </c>
      <c r="C15" s="4">
        <v>55</v>
      </c>
      <c r="D15" s="4">
        <v>62</v>
      </c>
      <c r="E15" s="4">
        <v>58</v>
      </c>
      <c r="F15" s="5"/>
      <c r="G15" s="6">
        <f t="shared" si="6"/>
        <v>175</v>
      </c>
      <c r="H15" s="4">
        <f t="shared" si="7"/>
        <v>58.333333333333336</v>
      </c>
      <c r="I15" s="4">
        <f t="shared" si="8"/>
        <v>14.583333333333334</v>
      </c>
      <c r="J15" s="5"/>
      <c r="K15" s="4">
        <v>59</v>
      </c>
      <c r="L15" s="4">
        <f t="shared" si="3"/>
        <v>177</v>
      </c>
      <c r="M15" s="4">
        <f t="shared" si="4"/>
        <v>44.25</v>
      </c>
      <c r="N15" s="4">
        <f t="shared" si="5"/>
        <v>58.833333333333336</v>
      </c>
    </row>
    <row r="16" spans="1:15" x14ac:dyDescent="0.3">
      <c r="A16" s="2">
        <v>11</v>
      </c>
      <c r="B16" s="7" t="s">
        <v>145</v>
      </c>
      <c r="C16" s="4">
        <v>45</v>
      </c>
      <c r="D16" s="4">
        <v>54</v>
      </c>
      <c r="E16" s="4">
        <v>44</v>
      </c>
      <c r="F16" s="5"/>
      <c r="G16" s="6">
        <f t="shared" si="6"/>
        <v>143</v>
      </c>
      <c r="H16" s="4">
        <f t="shared" si="7"/>
        <v>47.666666666666664</v>
      </c>
      <c r="I16" s="4">
        <f t="shared" si="8"/>
        <v>11.916666666666666</v>
      </c>
      <c r="J16" s="5"/>
      <c r="K16" s="4">
        <v>47</v>
      </c>
      <c r="L16" s="4">
        <f t="shared" si="3"/>
        <v>141</v>
      </c>
      <c r="M16" s="4">
        <f t="shared" si="4"/>
        <v>35.25</v>
      </c>
      <c r="N16" s="4">
        <f t="shared" si="5"/>
        <v>47.166666666666664</v>
      </c>
    </row>
    <row r="17" spans="1:15" x14ac:dyDescent="0.3">
      <c r="A17" s="2">
        <v>12</v>
      </c>
      <c r="B17" s="7" t="s">
        <v>148</v>
      </c>
      <c r="C17" s="4">
        <v>38</v>
      </c>
      <c r="D17" s="4">
        <v>38</v>
      </c>
      <c r="E17" s="4">
        <v>52</v>
      </c>
      <c r="F17" s="5"/>
      <c r="G17" s="6">
        <f t="shared" si="6"/>
        <v>128</v>
      </c>
      <c r="H17" s="4">
        <f t="shared" si="7"/>
        <v>42.666666666666664</v>
      </c>
      <c r="I17" s="4">
        <f t="shared" si="8"/>
        <v>10.666666666666666</v>
      </c>
      <c r="J17" s="5"/>
      <c r="K17" s="4">
        <v>56</v>
      </c>
      <c r="L17" s="4">
        <f t="shared" si="3"/>
        <v>168</v>
      </c>
      <c r="M17" s="4">
        <f t="shared" si="4"/>
        <v>42</v>
      </c>
      <c r="N17" s="4">
        <f t="shared" si="5"/>
        <v>52.666666666666664</v>
      </c>
    </row>
    <row r="18" spans="1:15" x14ac:dyDescent="0.3">
      <c r="A18" s="2">
        <v>13</v>
      </c>
      <c r="B18" s="7" t="s">
        <v>150</v>
      </c>
      <c r="C18" s="4">
        <v>55</v>
      </c>
      <c r="D18" s="4">
        <v>65</v>
      </c>
      <c r="E18" s="4">
        <v>60</v>
      </c>
      <c r="F18" s="5"/>
      <c r="G18" s="6">
        <f t="shared" si="6"/>
        <v>180</v>
      </c>
      <c r="H18" s="4">
        <f t="shared" si="7"/>
        <v>60</v>
      </c>
      <c r="I18" s="4">
        <f t="shared" si="8"/>
        <v>15</v>
      </c>
      <c r="J18" s="5"/>
      <c r="K18" s="4">
        <v>62</v>
      </c>
      <c r="L18" s="4">
        <f t="shared" si="3"/>
        <v>186</v>
      </c>
      <c r="M18" s="4">
        <f t="shared" si="4"/>
        <v>46.5</v>
      </c>
      <c r="N18" s="4">
        <f t="shared" si="5"/>
        <v>61.5</v>
      </c>
    </row>
    <row r="19" spans="1:15" x14ac:dyDescent="0.3">
      <c r="A19" s="2">
        <v>14</v>
      </c>
      <c r="B19" s="7" t="s">
        <v>153</v>
      </c>
      <c r="C19" s="4">
        <v>70</v>
      </c>
      <c r="D19" s="4">
        <v>71</v>
      </c>
      <c r="E19" s="4">
        <v>65</v>
      </c>
      <c r="F19" s="5"/>
      <c r="G19" s="6">
        <f t="shared" si="6"/>
        <v>206</v>
      </c>
      <c r="H19" s="4">
        <f t="shared" si="7"/>
        <v>68.666666666666671</v>
      </c>
      <c r="I19" s="4">
        <f t="shared" si="8"/>
        <v>17.166666666666668</v>
      </c>
      <c r="J19" s="5"/>
      <c r="K19" s="4">
        <v>59</v>
      </c>
      <c r="L19" s="4">
        <f t="shared" si="3"/>
        <v>177</v>
      </c>
      <c r="M19" s="4">
        <f t="shared" si="4"/>
        <v>44.25</v>
      </c>
      <c r="N19" s="4">
        <f t="shared" si="5"/>
        <v>61.416666666666671</v>
      </c>
    </row>
    <row r="20" spans="1:15" x14ac:dyDescent="0.3">
      <c r="A20" s="2">
        <v>15</v>
      </c>
      <c r="B20" s="7" t="s">
        <v>156</v>
      </c>
      <c r="C20" s="4">
        <v>53</v>
      </c>
      <c r="D20" s="4">
        <v>55</v>
      </c>
      <c r="E20" s="4">
        <v>59</v>
      </c>
      <c r="F20" s="5"/>
      <c r="G20" s="6">
        <f t="shared" si="6"/>
        <v>167</v>
      </c>
      <c r="H20" s="4">
        <f t="shared" si="7"/>
        <v>55.666666666666664</v>
      </c>
      <c r="I20" s="4">
        <f t="shared" si="8"/>
        <v>13.916666666666666</v>
      </c>
      <c r="J20" s="5"/>
      <c r="K20" s="4">
        <v>55</v>
      </c>
      <c r="L20" s="4">
        <f t="shared" si="3"/>
        <v>165</v>
      </c>
      <c r="M20" s="4">
        <f t="shared" si="4"/>
        <v>41.25</v>
      </c>
      <c r="N20" s="4">
        <f t="shared" si="5"/>
        <v>55.166666666666664</v>
      </c>
    </row>
    <row r="21" spans="1:15" x14ac:dyDescent="0.3">
      <c r="A21" s="2">
        <v>16</v>
      </c>
      <c r="B21" s="7" t="s">
        <v>151</v>
      </c>
      <c r="C21" s="4">
        <v>38</v>
      </c>
      <c r="D21" s="4">
        <v>40</v>
      </c>
      <c r="E21" s="4">
        <v>37</v>
      </c>
      <c r="F21" s="5"/>
      <c r="G21" s="6">
        <f t="shared" si="6"/>
        <v>115</v>
      </c>
      <c r="H21" s="4">
        <f t="shared" si="7"/>
        <v>38.333333333333336</v>
      </c>
      <c r="I21" s="4">
        <f t="shared" si="8"/>
        <v>9.5833333333333339</v>
      </c>
      <c r="J21" s="5"/>
      <c r="K21" s="4">
        <v>40</v>
      </c>
      <c r="L21" s="4">
        <f t="shared" si="3"/>
        <v>120</v>
      </c>
      <c r="M21" s="4">
        <f t="shared" si="4"/>
        <v>30</v>
      </c>
      <c r="N21" s="4">
        <f t="shared" si="5"/>
        <v>39.583333333333336</v>
      </c>
    </row>
    <row r="25" spans="1:15" x14ac:dyDescent="0.3">
      <c r="A25" s="63" t="s">
        <v>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1:15" x14ac:dyDescent="0.3">
      <c r="A26" s="63" t="s">
        <v>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1:15" x14ac:dyDescent="0.3">
      <c r="A27" s="63" t="s">
        <v>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 spans="1:15" x14ac:dyDescent="0.3">
      <c r="B28" s="64" t="s">
        <v>44</v>
      </c>
      <c r="C28" s="64"/>
      <c r="D28" s="64"/>
    </row>
    <row r="29" spans="1:15" x14ac:dyDescent="0.3">
      <c r="C29" s="1" t="s">
        <v>4</v>
      </c>
      <c r="D29" s="1" t="s">
        <v>5</v>
      </c>
      <c r="E29" s="1" t="s">
        <v>6</v>
      </c>
      <c r="F29" s="1"/>
      <c r="G29" s="1" t="s">
        <v>7</v>
      </c>
      <c r="H29" s="1" t="s">
        <v>8</v>
      </c>
      <c r="I29" s="3">
        <v>0.25</v>
      </c>
      <c r="J29" s="1"/>
      <c r="K29" s="1" t="s">
        <v>9</v>
      </c>
      <c r="L29" s="1"/>
      <c r="M29" s="3">
        <v>0.75</v>
      </c>
      <c r="N29" s="1" t="s">
        <v>10</v>
      </c>
    </row>
    <row r="30" spans="1:15" x14ac:dyDescent="0.3">
      <c r="A30" s="2">
        <v>1</v>
      </c>
      <c r="B30" s="7" t="s">
        <v>158</v>
      </c>
      <c r="C30" s="4">
        <v>56</v>
      </c>
      <c r="D30" s="4">
        <v>70</v>
      </c>
      <c r="E30" s="4">
        <v>72</v>
      </c>
      <c r="F30" s="5"/>
      <c r="G30" s="6">
        <f>SUM(C30:E30)</f>
        <v>198</v>
      </c>
      <c r="H30" s="4">
        <f>AVERAGE(C30:E30)</f>
        <v>66</v>
      </c>
      <c r="I30" s="4">
        <f>G30/12</f>
        <v>16.5</v>
      </c>
      <c r="J30" s="5"/>
      <c r="K30" s="4"/>
      <c r="L30" s="4">
        <f>K30*3</f>
        <v>0</v>
      </c>
      <c r="M30" s="4">
        <f>L30/4</f>
        <v>0</v>
      </c>
      <c r="N30" s="4">
        <f>M30+I30</f>
        <v>16.5</v>
      </c>
    </row>
    <row r="31" spans="1:15" x14ac:dyDescent="0.3">
      <c r="A31" s="2">
        <v>2</v>
      </c>
      <c r="B31" s="7" t="s">
        <v>154</v>
      </c>
      <c r="C31" s="4">
        <v>69</v>
      </c>
      <c r="D31" s="4">
        <v>65</v>
      </c>
      <c r="E31" s="4">
        <v>69</v>
      </c>
      <c r="F31" s="5"/>
      <c r="G31" s="6">
        <f t="shared" ref="G31:G45" si="9">SUM(C31:E31)</f>
        <v>203</v>
      </c>
      <c r="H31" s="4">
        <f t="shared" ref="H31:H45" si="10">AVERAGE(C31:E31)</f>
        <v>67.666666666666671</v>
      </c>
      <c r="I31" s="4">
        <f t="shared" ref="I31:I45" si="11">G31/12</f>
        <v>16.916666666666668</v>
      </c>
      <c r="J31" s="5"/>
      <c r="K31" s="4"/>
      <c r="L31" s="4">
        <f t="shared" ref="L31:L45" si="12">K31*3</f>
        <v>0</v>
      </c>
      <c r="M31" s="4">
        <f t="shared" ref="M31:M45" si="13">L31/4</f>
        <v>0</v>
      </c>
      <c r="N31" s="4">
        <f t="shared" ref="N31:N45" si="14">M31+I31</f>
        <v>16.916666666666668</v>
      </c>
    </row>
    <row r="32" spans="1:15" x14ac:dyDescent="0.3">
      <c r="A32" s="2">
        <v>3</v>
      </c>
      <c r="B32" s="7" t="s">
        <v>147</v>
      </c>
      <c r="C32" s="4">
        <v>71</v>
      </c>
      <c r="D32" s="4">
        <v>58</v>
      </c>
      <c r="E32" s="4">
        <v>59</v>
      </c>
      <c r="F32" s="5"/>
      <c r="G32" s="6">
        <f t="shared" si="9"/>
        <v>188</v>
      </c>
      <c r="H32" s="4">
        <f t="shared" si="10"/>
        <v>62.666666666666664</v>
      </c>
      <c r="I32" s="4">
        <f t="shared" si="11"/>
        <v>15.666666666666666</v>
      </c>
      <c r="J32" s="5"/>
      <c r="K32" s="4"/>
      <c r="L32" s="4">
        <f t="shared" si="12"/>
        <v>0</v>
      </c>
      <c r="M32" s="4">
        <f t="shared" si="13"/>
        <v>0</v>
      </c>
      <c r="N32" s="4">
        <f t="shared" si="14"/>
        <v>15.666666666666666</v>
      </c>
    </row>
    <row r="33" spans="1:15" x14ac:dyDescent="0.3">
      <c r="A33" s="2">
        <v>4</v>
      </c>
      <c r="B33" s="7" t="s">
        <v>152</v>
      </c>
      <c r="C33" s="4">
        <v>54</v>
      </c>
      <c r="D33" s="4">
        <v>75</v>
      </c>
      <c r="E33" s="4">
        <v>75</v>
      </c>
      <c r="F33" s="5"/>
      <c r="G33" s="6">
        <f t="shared" si="9"/>
        <v>204</v>
      </c>
      <c r="H33" s="4">
        <f t="shared" si="10"/>
        <v>68</v>
      </c>
      <c r="I33" s="4">
        <f t="shared" si="11"/>
        <v>17</v>
      </c>
      <c r="J33" s="5"/>
      <c r="K33" s="4"/>
      <c r="L33" s="4">
        <f t="shared" si="12"/>
        <v>0</v>
      </c>
      <c r="M33" s="4">
        <f t="shared" si="13"/>
        <v>0</v>
      </c>
      <c r="N33" s="4">
        <f t="shared" si="14"/>
        <v>17</v>
      </c>
    </row>
    <row r="34" spans="1:15" x14ac:dyDescent="0.3">
      <c r="A34" s="2">
        <v>5</v>
      </c>
      <c r="B34" s="7" t="s">
        <v>144</v>
      </c>
      <c r="C34" s="4">
        <v>69</v>
      </c>
      <c r="D34" s="4">
        <v>55</v>
      </c>
      <c r="E34" s="4">
        <v>69</v>
      </c>
      <c r="F34" s="5"/>
      <c r="G34" s="6">
        <f t="shared" si="9"/>
        <v>193</v>
      </c>
      <c r="H34" s="4">
        <f t="shared" si="10"/>
        <v>64.333333333333329</v>
      </c>
      <c r="I34" s="4">
        <f t="shared" si="11"/>
        <v>16.083333333333332</v>
      </c>
      <c r="J34" s="5"/>
      <c r="K34" s="4"/>
      <c r="L34" s="4">
        <f t="shared" si="12"/>
        <v>0</v>
      </c>
      <c r="M34" s="4">
        <f t="shared" si="13"/>
        <v>0</v>
      </c>
      <c r="N34" s="4">
        <f t="shared" si="14"/>
        <v>16.083333333333332</v>
      </c>
    </row>
    <row r="35" spans="1:15" x14ac:dyDescent="0.3">
      <c r="A35" s="2">
        <v>6</v>
      </c>
      <c r="B35" s="7" t="s">
        <v>157</v>
      </c>
      <c r="C35" s="4">
        <v>88</v>
      </c>
      <c r="D35" s="4">
        <v>81</v>
      </c>
      <c r="E35" s="4">
        <v>83</v>
      </c>
      <c r="F35" s="5"/>
      <c r="G35" s="6">
        <f t="shared" si="9"/>
        <v>252</v>
      </c>
      <c r="H35" s="4">
        <f t="shared" si="10"/>
        <v>84</v>
      </c>
      <c r="I35" s="4">
        <f t="shared" si="11"/>
        <v>21</v>
      </c>
      <c r="J35" s="5"/>
      <c r="K35" s="4"/>
      <c r="L35" s="4">
        <f t="shared" si="12"/>
        <v>0</v>
      </c>
      <c r="M35" s="4">
        <f t="shared" si="13"/>
        <v>0</v>
      </c>
      <c r="N35" s="4">
        <f t="shared" si="14"/>
        <v>21</v>
      </c>
    </row>
    <row r="36" spans="1:15" x14ac:dyDescent="0.3">
      <c r="A36" s="2">
        <v>7</v>
      </c>
      <c r="B36" s="7" t="s">
        <v>155</v>
      </c>
      <c r="C36" s="4">
        <v>69</v>
      </c>
      <c r="D36" s="4">
        <v>69</v>
      </c>
      <c r="E36" s="4">
        <v>65</v>
      </c>
      <c r="F36" s="5"/>
      <c r="G36" s="6">
        <f t="shared" si="9"/>
        <v>203</v>
      </c>
      <c r="H36" s="4">
        <f t="shared" si="10"/>
        <v>67.666666666666671</v>
      </c>
      <c r="I36" s="4">
        <f t="shared" si="11"/>
        <v>16.916666666666668</v>
      </c>
      <c r="J36" s="5"/>
      <c r="K36" s="4"/>
      <c r="L36" s="4">
        <f t="shared" si="12"/>
        <v>0</v>
      </c>
      <c r="M36" s="4">
        <f t="shared" si="13"/>
        <v>0</v>
      </c>
      <c r="N36" s="4">
        <f t="shared" si="14"/>
        <v>16.916666666666668</v>
      </c>
    </row>
    <row r="37" spans="1:15" x14ac:dyDescent="0.3">
      <c r="A37" s="2">
        <v>8</v>
      </c>
      <c r="B37" s="7" t="s">
        <v>149</v>
      </c>
      <c r="C37" s="4">
        <v>74</v>
      </c>
      <c r="D37" s="4">
        <v>55</v>
      </c>
      <c r="E37" s="4">
        <v>75</v>
      </c>
      <c r="F37" s="5"/>
      <c r="G37" s="6">
        <f t="shared" si="9"/>
        <v>204</v>
      </c>
      <c r="H37" s="4">
        <f t="shared" si="10"/>
        <v>68</v>
      </c>
      <c r="I37" s="4">
        <f t="shared" si="11"/>
        <v>17</v>
      </c>
      <c r="J37" s="5"/>
      <c r="K37" s="4"/>
      <c r="L37" s="4">
        <f t="shared" si="12"/>
        <v>0</v>
      </c>
      <c r="M37" s="4">
        <f t="shared" si="13"/>
        <v>0</v>
      </c>
      <c r="N37" s="4">
        <f t="shared" si="14"/>
        <v>17</v>
      </c>
    </row>
    <row r="38" spans="1:15" x14ac:dyDescent="0.3">
      <c r="A38" s="2">
        <v>9</v>
      </c>
      <c r="B38" s="7" t="s">
        <v>143</v>
      </c>
      <c r="C38" s="4">
        <v>89</v>
      </c>
      <c r="D38" s="4">
        <v>87</v>
      </c>
      <c r="E38" s="4">
        <v>88</v>
      </c>
      <c r="F38" s="5"/>
      <c r="G38" s="6">
        <f t="shared" si="9"/>
        <v>264</v>
      </c>
      <c r="H38" s="4">
        <f t="shared" si="10"/>
        <v>88</v>
      </c>
      <c r="I38" s="4">
        <f t="shared" si="11"/>
        <v>22</v>
      </c>
      <c r="J38" s="5"/>
      <c r="K38" s="4"/>
      <c r="L38" s="4">
        <f t="shared" si="12"/>
        <v>0</v>
      </c>
      <c r="M38" s="4">
        <f t="shared" si="13"/>
        <v>0</v>
      </c>
      <c r="N38" s="4">
        <f t="shared" si="14"/>
        <v>22</v>
      </c>
    </row>
    <row r="39" spans="1:15" x14ac:dyDescent="0.3">
      <c r="A39" s="2">
        <v>10</v>
      </c>
      <c r="B39" s="7" t="s">
        <v>146</v>
      </c>
      <c r="C39" s="4">
        <v>82</v>
      </c>
      <c r="D39" s="4">
        <v>89</v>
      </c>
      <c r="E39" s="4">
        <v>85</v>
      </c>
      <c r="F39" s="5"/>
      <c r="G39" s="6">
        <f t="shared" si="9"/>
        <v>256</v>
      </c>
      <c r="H39" s="4">
        <f t="shared" si="10"/>
        <v>85.333333333333329</v>
      </c>
      <c r="I39" s="4">
        <f t="shared" si="11"/>
        <v>21.333333333333332</v>
      </c>
      <c r="J39" s="5"/>
      <c r="K39" s="4"/>
      <c r="L39" s="4">
        <f t="shared" si="12"/>
        <v>0</v>
      </c>
      <c r="M39" s="4">
        <f t="shared" si="13"/>
        <v>0</v>
      </c>
      <c r="N39" s="4">
        <f t="shared" si="14"/>
        <v>21.333333333333332</v>
      </c>
    </row>
    <row r="40" spans="1:15" x14ac:dyDescent="0.3">
      <c r="A40" s="2">
        <v>11</v>
      </c>
      <c r="B40" s="7" t="s">
        <v>145</v>
      </c>
      <c r="C40" s="4">
        <v>74</v>
      </c>
      <c r="D40" s="4">
        <v>74</v>
      </c>
      <c r="E40" s="4">
        <v>74</v>
      </c>
      <c r="F40" s="5"/>
      <c r="G40" s="6">
        <f t="shared" si="9"/>
        <v>222</v>
      </c>
      <c r="H40" s="4">
        <f t="shared" si="10"/>
        <v>74</v>
      </c>
      <c r="I40" s="4">
        <f t="shared" si="11"/>
        <v>18.5</v>
      </c>
      <c r="J40" s="5"/>
      <c r="K40" s="4"/>
      <c r="L40" s="4">
        <f t="shared" si="12"/>
        <v>0</v>
      </c>
      <c r="M40" s="4">
        <f t="shared" si="13"/>
        <v>0</v>
      </c>
      <c r="N40" s="4">
        <f t="shared" si="14"/>
        <v>18.5</v>
      </c>
    </row>
    <row r="41" spans="1:15" x14ac:dyDescent="0.3">
      <c r="A41" s="2">
        <v>12</v>
      </c>
      <c r="B41" s="7" t="s">
        <v>148</v>
      </c>
      <c r="C41" s="4">
        <v>82</v>
      </c>
      <c r="D41" s="4">
        <v>83</v>
      </c>
      <c r="E41" s="4">
        <v>86</v>
      </c>
      <c r="F41" s="5"/>
      <c r="G41" s="6">
        <f t="shared" si="9"/>
        <v>251</v>
      </c>
      <c r="H41" s="4">
        <f t="shared" si="10"/>
        <v>83.666666666666671</v>
      </c>
      <c r="I41" s="4">
        <f t="shared" si="11"/>
        <v>20.916666666666668</v>
      </c>
      <c r="J41" s="5"/>
      <c r="K41" s="4"/>
      <c r="L41" s="4">
        <f t="shared" si="12"/>
        <v>0</v>
      </c>
      <c r="M41" s="4">
        <f t="shared" si="13"/>
        <v>0</v>
      </c>
      <c r="N41" s="4">
        <f t="shared" si="14"/>
        <v>20.916666666666668</v>
      </c>
    </row>
    <row r="42" spans="1:15" x14ac:dyDescent="0.3">
      <c r="A42" s="2">
        <v>13</v>
      </c>
      <c r="B42" s="7" t="s">
        <v>150</v>
      </c>
      <c r="C42" s="4">
        <v>74</v>
      </c>
      <c r="D42" s="4">
        <v>69</v>
      </c>
      <c r="E42" s="4">
        <v>65</v>
      </c>
      <c r="F42" s="5"/>
      <c r="G42" s="6">
        <f t="shared" si="9"/>
        <v>208</v>
      </c>
      <c r="H42" s="4">
        <f t="shared" si="10"/>
        <v>69.333333333333329</v>
      </c>
      <c r="I42" s="4">
        <f t="shared" si="11"/>
        <v>17.333333333333332</v>
      </c>
      <c r="J42" s="5"/>
      <c r="K42" s="4"/>
      <c r="L42" s="4">
        <f t="shared" si="12"/>
        <v>0</v>
      </c>
      <c r="M42" s="4">
        <f t="shared" si="13"/>
        <v>0</v>
      </c>
      <c r="N42" s="4">
        <f t="shared" si="14"/>
        <v>17.333333333333332</v>
      </c>
    </row>
    <row r="43" spans="1:15" x14ac:dyDescent="0.3">
      <c r="A43" s="2">
        <v>14</v>
      </c>
      <c r="B43" s="7" t="s">
        <v>153</v>
      </c>
      <c r="C43" s="4">
        <v>86</v>
      </c>
      <c r="D43" s="4">
        <v>84</v>
      </c>
      <c r="E43" s="4">
        <v>85</v>
      </c>
      <c r="F43" s="5"/>
      <c r="G43" s="6">
        <f t="shared" si="9"/>
        <v>255</v>
      </c>
      <c r="H43" s="4">
        <f t="shared" si="10"/>
        <v>85</v>
      </c>
      <c r="I43" s="4">
        <f t="shared" si="11"/>
        <v>21.25</v>
      </c>
      <c r="J43" s="5"/>
      <c r="K43" s="4"/>
      <c r="L43" s="4">
        <f t="shared" si="12"/>
        <v>0</v>
      </c>
      <c r="M43" s="4">
        <f t="shared" si="13"/>
        <v>0</v>
      </c>
      <c r="N43" s="4">
        <f t="shared" si="14"/>
        <v>21.25</v>
      </c>
    </row>
    <row r="44" spans="1:15" x14ac:dyDescent="0.3">
      <c r="A44" s="2">
        <v>15</v>
      </c>
      <c r="B44" s="7" t="s">
        <v>156</v>
      </c>
      <c r="C44" s="4">
        <v>69</v>
      </c>
      <c r="D44" s="4">
        <v>69</v>
      </c>
      <c r="E44" s="4">
        <v>69</v>
      </c>
      <c r="F44" s="5"/>
      <c r="G44" s="6">
        <f t="shared" si="9"/>
        <v>207</v>
      </c>
      <c r="H44" s="4">
        <f t="shared" si="10"/>
        <v>69</v>
      </c>
      <c r="I44" s="4">
        <f t="shared" si="11"/>
        <v>17.25</v>
      </c>
      <c r="J44" s="5"/>
      <c r="K44" s="4"/>
      <c r="L44" s="4">
        <f t="shared" si="12"/>
        <v>0</v>
      </c>
      <c r="M44" s="4">
        <f t="shared" si="13"/>
        <v>0</v>
      </c>
      <c r="N44" s="4">
        <f t="shared" si="14"/>
        <v>17.25</v>
      </c>
    </row>
    <row r="45" spans="1:15" x14ac:dyDescent="0.3">
      <c r="A45" s="2">
        <v>16</v>
      </c>
      <c r="B45" s="7" t="s">
        <v>151</v>
      </c>
      <c r="C45" s="4">
        <v>66</v>
      </c>
      <c r="D45" s="4">
        <v>55</v>
      </c>
      <c r="E45" s="4">
        <v>85</v>
      </c>
      <c r="F45" s="5"/>
      <c r="G45" s="6">
        <f t="shared" si="9"/>
        <v>206</v>
      </c>
      <c r="H45" s="4">
        <f t="shared" si="10"/>
        <v>68.666666666666671</v>
      </c>
      <c r="I45" s="4">
        <f t="shared" si="11"/>
        <v>17.166666666666668</v>
      </c>
      <c r="J45" s="5"/>
      <c r="K45" s="4"/>
      <c r="L45" s="4">
        <f t="shared" si="12"/>
        <v>0</v>
      </c>
      <c r="M45" s="4">
        <f t="shared" si="13"/>
        <v>0</v>
      </c>
      <c r="N45" s="4">
        <f t="shared" si="14"/>
        <v>17.166666666666668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142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159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7" t="s">
        <v>158</v>
      </c>
      <c r="C53" s="4">
        <v>51</v>
      </c>
      <c r="D53" s="4">
        <v>65</v>
      </c>
      <c r="E53" s="4">
        <v>60</v>
      </c>
      <c r="F53" s="5"/>
      <c r="G53" s="6">
        <f>SUM(C53:E53)</f>
        <v>176</v>
      </c>
      <c r="H53" s="4">
        <f>AVERAGE(C53:E53)</f>
        <v>58.666666666666664</v>
      </c>
      <c r="I53" s="4">
        <f>G53/12</f>
        <v>14.666666666666666</v>
      </c>
      <c r="J53" s="5"/>
      <c r="K53" s="4">
        <v>58</v>
      </c>
      <c r="L53" s="4">
        <f>K53*3</f>
        <v>174</v>
      </c>
      <c r="M53" s="4">
        <f>L53/4</f>
        <v>43.5</v>
      </c>
      <c r="N53" s="4">
        <f>M53+I53</f>
        <v>58.166666666666664</v>
      </c>
    </row>
    <row r="54" spans="1:15" x14ac:dyDescent="0.3">
      <c r="A54" s="2">
        <v>2</v>
      </c>
      <c r="B54" s="7" t="s">
        <v>154</v>
      </c>
      <c r="C54" s="4">
        <v>62</v>
      </c>
      <c r="D54" s="4">
        <v>45</v>
      </c>
      <c r="E54" s="4">
        <v>38</v>
      </c>
      <c r="F54" s="5"/>
      <c r="G54" s="6">
        <f t="shared" ref="G54:G68" si="15">SUM(C54:E54)</f>
        <v>145</v>
      </c>
      <c r="H54" s="4">
        <f t="shared" ref="H54:H68" si="16">AVERAGE(C54:E54)</f>
        <v>48.333333333333336</v>
      </c>
      <c r="I54" s="4">
        <f t="shared" ref="I54:I68" si="17">G54/12</f>
        <v>12.083333333333334</v>
      </c>
      <c r="J54" s="5"/>
      <c r="K54" s="4">
        <v>50</v>
      </c>
      <c r="L54" s="4">
        <f t="shared" ref="L54:L68" si="18">K54*3</f>
        <v>150</v>
      </c>
      <c r="M54" s="4">
        <f t="shared" ref="M54:M68" si="19">L54/4</f>
        <v>37.5</v>
      </c>
      <c r="N54" s="4">
        <f t="shared" ref="N54:N68" si="20">M54+I54</f>
        <v>49.583333333333336</v>
      </c>
    </row>
    <row r="55" spans="1:15" x14ac:dyDescent="0.3">
      <c r="A55" s="2">
        <v>3</v>
      </c>
      <c r="B55" s="7" t="s">
        <v>147</v>
      </c>
      <c r="C55" s="4">
        <v>50</v>
      </c>
      <c r="D55" s="4">
        <v>52</v>
      </c>
      <c r="E55" s="4">
        <v>45</v>
      </c>
      <c r="F55" s="5"/>
      <c r="G55" s="6">
        <f t="shared" si="15"/>
        <v>147</v>
      </c>
      <c r="H55" s="4">
        <f t="shared" si="16"/>
        <v>49</v>
      </c>
      <c r="I55" s="4">
        <f t="shared" si="17"/>
        <v>12.25</v>
      </c>
      <c r="J55" s="5"/>
      <c r="K55" s="4">
        <v>44</v>
      </c>
      <c r="L55" s="4">
        <f t="shared" si="18"/>
        <v>132</v>
      </c>
      <c r="M55" s="4">
        <f t="shared" si="19"/>
        <v>33</v>
      </c>
      <c r="N55" s="4">
        <f t="shared" si="20"/>
        <v>45.25</v>
      </c>
    </row>
    <row r="56" spans="1:15" x14ac:dyDescent="0.3">
      <c r="A56" s="2">
        <v>4</v>
      </c>
      <c r="B56" s="7" t="s">
        <v>152</v>
      </c>
      <c r="C56" s="4">
        <v>55</v>
      </c>
      <c r="D56" s="4">
        <v>44</v>
      </c>
      <c r="E56" s="4">
        <v>47</v>
      </c>
      <c r="F56" s="5"/>
      <c r="G56" s="6">
        <f t="shared" si="15"/>
        <v>146</v>
      </c>
      <c r="H56" s="4">
        <f t="shared" si="16"/>
        <v>48.666666666666664</v>
      </c>
      <c r="I56" s="4">
        <f t="shared" si="17"/>
        <v>12.166666666666666</v>
      </c>
      <c r="J56" s="5"/>
      <c r="K56" s="4">
        <v>48</v>
      </c>
      <c r="L56" s="4">
        <f t="shared" si="18"/>
        <v>144</v>
      </c>
      <c r="M56" s="4">
        <f t="shared" si="19"/>
        <v>36</v>
      </c>
      <c r="N56" s="4">
        <f t="shared" si="20"/>
        <v>48.166666666666664</v>
      </c>
    </row>
    <row r="57" spans="1:15" x14ac:dyDescent="0.3">
      <c r="A57" s="2">
        <v>5</v>
      </c>
      <c r="B57" s="7" t="s">
        <v>144</v>
      </c>
      <c r="C57" s="4">
        <v>56</v>
      </c>
      <c r="D57" s="4">
        <v>58</v>
      </c>
      <c r="E57" s="4">
        <v>52</v>
      </c>
      <c r="F57" s="5"/>
      <c r="G57" s="6">
        <f t="shared" si="15"/>
        <v>166</v>
      </c>
      <c r="H57" s="4">
        <f t="shared" si="16"/>
        <v>55.333333333333336</v>
      </c>
      <c r="I57" s="4">
        <f t="shared" si="17"/>
        <v>13.833333333333334</v>
      </c>
      <c r="J57" s="5"/>
      <c r="K57" s="4">
        <v>56</v>
      </c>
      <c r="L57" s="4">
        <f t="shared" si="18"/>
        <v>168</v>
      </c>
      <c r="M57" s="4">
        <f t="shared" si="19"/>
        <v>42</v>
      </c>
      <c r="N57" s="4">
        <f t="shared" si="20"/>
        <v>55.833333333333336</v>
      </c>
    </row>
    <row r="58" spans="1:15" x14ac:dyDescent="0.3">
      <c r="A58" s="2">
        <v>6</v>
      </c>
      <c r="B58" s="7" t="s">
        <v>157</v>
      </c>
      <c r="C58" s="4">
        <v>89</v>
      </c>
      <c r="D58" s="4">
        <v>82</v>
      </c>
      <c r="E58" s="4">
        <v>76</v>
      </c>
      <c r="F58" s="5"/>
      <c r="G58" s="6">
        <f t="shared" si="15"/>
        <v>247</v>
      </c>
      <c r="H58" s="4">
        <f t="shared" si="16"/>
        <v>82.333333333333329</v>
      </c>
      <c r="I58" s="4">
        <f t="shared" si="17"/>
        <v>20.583333333333332</v>
      </c>
      <c r="J58" s="5"/>
      <c r="K58" s="4">
        <v>85</v>
      </c>
      <c r="L58" s="4">
        <f t="shared" si="18"/>
        <v>255</v>
      </c>
      <c r="M58" s="4">
        <f t="shared" si="19"/>
        <v>63.75</v>
      </c>
      <c r="N58" s="4">
        <f t="shared" si="20"/>
        <v>84.333333333333329</v>
      </c>
    </row>
    <row r="59" spans="1:15" x14ac:dyDescent="0.3">
      <c r="A59" s="2">
        <v>7</v>
      </c>
      <c r="B59" s="7" t="s">
        <v>155</v>
      </c>
      <c r="C59" s="4">
        <v>75</v>
      </c>
      <c r="D59" s="4">
        <v>65</v>
      </c>
      <c r="E59" s="4">
        <v>62</v>
      </c>
      <c r="F59" s="5"/>
      <c r="G59" s="6">
        <f t="shared" si="15"/>
        <v>202</v>
      </c>
      <c r="H59" s="4">
        <f t="shared" si="16"/>
        <v>67.333333333333329</v>
      </c>
      <c r="I59" s="4">
        <f t="shared" si="17"/>
        <v>16.833333333333332</v>
      </c>
      <c r="J59" s="5"/>
      <c r="K59" s="4">
        <v>66</v>
      </c>
      <c r="L59" s="4">
        <f t="shared" si="18"/>
        <v>198</v>
      </c>
      <c r="M59" s="4">
        <f t="shared" si="19"/>
        <v>49.5</v>
      </c>
      <c r="N59" s="4">
        <f t="shared" si="20"/>
        <v>66.333333333333329</v>
      </c>
    </row>
    <row r="60" spans="1:15" x14ac:dyDescent="0.3">
      <c r="A60" s="2">
        <v>8</v>
      </c>
      <c r="B60" s="7" t="s">
        <v>149</v>
      </c>
      <c r="C60" s="4">
        <v>66</v>
      </c>
      <c r="D60" s="4">
        <v>55</v>
      </c>
      <c r="E60" s="4">
        <v>39</v>
      </c>
      <c r="F60" s="5"/>
      <c r="G60" s="6">
        <f t="shared" si="15"/>
        <v>160</v>
      </c>
      <c r="H60" s="4">
        <f t="shared" si="16"/>
        <v>53.333333333333336</v>
      </c>
      <c r="I60" s="4">
        <f t="shared" si="17"/>
        <v>13.333333333333334</v>
      </c>
      <c r="J60" s="5"/>
      <c r="K60" s="4">
        <v>58</v>
      </c>
      <c r="L60" s="4">
        <f t="shared" si="18"/>
        <v>174</v>
      </c>
      <c r="M60" s="4">
        <f t="shared" si="19"/>
        <v>43.5</v>
      </c>
      <c r="N60" s="4">
        <f t="shared" si="20"/>
        <v>56.833333333333336</v>
      </c>
    </row>
    <row r="61" spans="1:15" x14ac:dyDescent="0.3">
      <c r="A61" s="2">
        <v>9</v>
      </c>
      <c r="B61" s="7" t="s">
        <v>143</v>
      </c>
      <c r="C61" s="4">
        <v>58</v>
      </c>
      <c r="D61" s="4">
        <v>47</v>
      </c>
      <c r="E61" s="4">
        <v>40</v>
      </c>
      <c r="F61" s="5"/>
      <c r="G61" s="6">
        <f t="shared" si="15"/>
        <v>145</v>
      </c>
      <c r="H61" s="4">
        <f t="shared" si="16"/>
        <v>48.333333333333336</v>
      </c>
      <c r="I61" s="4">
        <f t="shared" si="17"/>
        <v>12.083333333333334</v>
      </c>
      <c r="J61" s="5"/>
      <c r="K61" s="4">
        <v>52</v>
      </c>
      <c r="L61" s="4">
        <f t="shared" si="18"/>
        <v>156</v>
      </c>
      <c r="M61" s="4">
        <f t="shared" si="19"/>
        <v>39</v>
      </c>
      <c r="N61" s="4">
        <f t="shared" si="20"/>
        <v>51.083333333333336</v>
      </c>
    </row>
    <row r="62" spans="1:15" x14ac:dyDescent="0.3">
      <c r="A62" s="2">
        <v>10</v>
      </c>
      <c r="B62" s="7" t="s">
        <v>146</v>
      </c>
      <c r="C62" s="4">
        <v>91</v>
      </c>
      <c r="D62" s="4">
        <v>88</v>
      </c>
      <c r="E62" s="4">
        <v>86</v>
      </c>
      <c r="F62" s="5"/>
      <c r="G62" s="6">
        <f t="shared" si="15"/>
        <v>265</v>
      </c>
      <c r="H62" s="4">
        <f t="shared" si="16"/>
        <v>88.333333333333329</v>
      </c>
      <c r="I62" s="4">
        <f t="shared" si="17"/>
        <v>22.083333333333332</v>
      </c>
      <c r="J62" s="5"/>
      <c r="K62" s="4">
        <v>89</v>
      </c>
      <c r="L62" s="4">
        <f t="shared" si="18"/>
        <v>267</v>
      </c>
      <c r="M62" s="4">
        <f t="shared" si="19"/>
        <v>66.75</v>
      </c>
      <c r="N62" s="4">
        <f t="shared" si="20"/>
        <v>88.833333333333329</v>
      </c>
    </row>
    <row r="63" spans="1:15" x14ac:dyDescent="0.3">
      <c r="A63" s="2">
        <v>11</v>
      </c>
      <c r="B63" s="7" t="s">
        <v>145</v>
      </c>
      <c r="C63" s="4">
        <v>77</v>
      </c>
      <c r="D63" s="4">
        <v>71</v>
      </c>
      <c r="E63" s="4">
        <v>65</v>
      </c>
      <c r="F63" s="5"/>
      <c r="G63" s="6">
        <f t="shared" si="15"/>
        <v>213</v>
      </c>
      <c r="H63" s="4">
        <f t="shared" si="16"/>
        <v>71</v>
      </c>
      <c r="I63" s="4">
        <f t="shared" si="17"/>
        <v>17.75</v>
      </c>
      <c r="J63" s="5"/>
      <c r="K63" s="4">
        <v>54</v>
      </c>
      <c r="L63" s="4">
        <f t="shared" si="18"/>
        <v>162</v>
      </c>
      <c r="M63" s="4">
        <f t="shared" si="19"/>
        <v>40.5</v>
      </c>
      <c r="N63" s="4">
        <f t="shared" si="20"/>
        <v>58.25</v>
      </c>
    </row>
    <row r="64" spans="1:15" x14ac:dyDescent="0.3">
      <c r="A64" s="2">
        <v>12</v>
      </c>
      <c r="B64" s="7" t="s">
        <v>148</v>
      </c>
      <c r="C64" s="4">
        <v>85</v>
      </c>
      <c r="D64" s="4">
        <v>69</v>
      </c>
      <c r="E64" s="4">
        <v>69</v>
      </c>
      <c r="F64" s="5"/>
      <c r="G64" s="6">
        <f t="shared" si="15"/>
        <v>223</v>
      </c>
      <c r="H64" s="4">
        <f t="shared" si="16"/>
        <v>74.333333333333329</v>
      </c>
      <c r="I64" s="4">
        <f t="shared" si="17"/>
        <v>18.583333333333332</v>
      </c>
      <c r="J64" s="5"/>
      <c r="K64" s="4">
        <v>52</v>
      </c>
      <c r="L64" s="4">
        <f t="shared" si="18"/>
        <v>156</v>
      </c>
      <c r="M64" s="4">
        <f t="shared" si="19"/>
        <v>39</v>
      </c>
      <c r="N64" s="4">
        <f t="shared" si="20"/>
        <v>57.583333333333329</v>
      </c>
    </row>
    <row r="65" spans="1:15" x14ac:dyDescent="0.3">
      <c r="A65" s="2">
        <v>13</v>
      </c>
      <c r="B65" s="7" t="s">
        <v>150</v>
      </c>
      <c r="C65" s="4">
        <v>68</v>
      </c>
      <c r="D65" s="4">
        <v>58</v>
      </c>
      <c r="E65" s="4">
        <v>55</v>
      </c>
      <c r="F65" s="5"/>
      <c r="G65" s="6">
        <f t="shared" si="15"/>
        <v>181</v>
      </c>
      <c r="H65" s="4">
        <f t="shared" si="16"/>
        <v>60.333333333333336</v>
      </c>
      <c r="I65" s="4">
        <f t="shared" si="17"/>
        <v>15.083333333333334</v>
      </c>
      <c r="J65" s="5"/>
      <c r="K65" s="4">
        <v>56</v>
      </c>
      <c r="L65" s="4">
        <f t="shared" si="18"/>
        <v>168</v>
      </c>
      <c r="M65" s="4">
        <f t="shared" si="19"/>
        <v>42</v>
      </c>
      <c r="N65" s="4">
        <f t="shared" si="20"/>
        <v>57.083333333333336</v>
      </c>
    </row>
    <row r="66" spans="1:15" x14ac:dyDescent="0.3">
      <c r="A66" s="2">
        <v>14</v>
      </c>
      <c r="B66" s="7" t="s">
        <v>153</v>
      </c>
      <c r="C66" s="4">
        <v>90</v>
      </c>
      <c r="D66" s="4">
        <v>95</v>
      </c>
      <c r="E66" s="4">
        <v>92</v>
      </c>
      <c r="F66" s="5"/>
      <c r="G66" s="6">
        <f t="shared" si="15"/>
        <v>277</v>
      </c>
      <c r="H66" s="4">
        <f t="shared" si="16"/>
        <v>92.333333333333329</v>
      </c>
      <c r="I66" s="4">
        <f t="shared" si="17"/>
        <v>23.083333333333332</v>
      </c>
      <c r="J66" s="5"/>
      <c r="K66" s="4">
        <v>88</v>
      </c>
      <c r="L66" s="4">
        <f t="shared" si="18"/>
        <v>264</v>
      </c>
      <c r="M66" s="4">
        <f t="shared" si="19"/>
        <v>66</v>
      </c>
      <c r="N66" s="4">
        <f t="shared" si="20"/>
        <v>89.083333333333329</v>
      </c>
    </row>
    <row r="67" spans="1:15" x14ac:dyDescent="0.3">
      <c r="A67" s="2">
        <v>15</v>
      </c>
      <c r="B67" s="7" t="s">
        <v>156</v>
      </c>
      <c r="C67" s="4">
        <v>55</v>
      </c>
      <c r="D67" s="4">
        <v>45</v>
      </c>
      <c r="E67" s="4">
        <v>54</v>
      </c>
      <c r="F67" s="5"/>
      <c r="G67" s="6">
        <f t="shared" si="15"/>
        <v>154</v>
      </c>
      <c r="H67" s="4">
        <f t="shared" si="16"/>
        <v>51.333333333333336</v>
      </c>
      <c r="I67" s="4">
        <f t="shared" si="17"/>
        <v>12.833333333333334</v>
      </c>
      <c r="J67" s="5"/>
      <c r="K67" s="4">
        <v>62</v>
      </c>
      <c r="L67" s="4">
        <f t="shared" si="18"/>
        <v>186</v>
      </c>
      <c r="M67" s="4">
        <f t="shared" si="19"/>
        <v>46.5</v>
      </c>
      <c r="N67" s="4">
        <f t="shared" si="20"/>
        <v>59.333333333333336</v>
      </c>
    </row>
    <row r="68" spans="1:15" x14ac:dyDescent="0.3">
      <c r="A68" s="2">
        <v>16</v>
      </c>
      <c r="B68" s="7" t="s">
        <v>151</v>
      </c>
      <c r="C68" s="4">
        <v>80</v>
      </c>
      <c r="D68" s="4">
        <v>82</v>
      </c>
      <c r="E68" s="4">
        <v>75</v>
      </c>
      <c r="F68" s="5"/>
      <c r="G68" s="6">
        <f t="shared" si="15"/>
        <v>237</v>
      </c>
      <c r="H68" s="4">
        <f t="shared" si="16"/>
        <v>79</v>
      </c>
      <c r="I68" s="4">
        <f t="shared" si="17"/>
        <v>19.75</v>
      </c>
      <c r="J68" s="5"/>
      <c r="K68" s="4">
        <v>80</v>
      </c>
      <c r="L68" s="4">
        <f t="shared" si="18"/>
        <v>240</v>
      </c>
      <c r="M68" s="4">
        <f t="shared" si="19"/>
        <v>60</v>
      </c>
      <c r="N68" s="4">
        <f t="shared" si="20"/>
        <v>79.75</v>
      </c>
    </row>
    <row r="72" spans="1:15" x14ac:dyDescent="0.3">
      <c r="A72" s="63" t="s">
        <v>0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15" x14ac:dyDescent="0.3">
      <c r="A73" s="63" t="s">
        <v>1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1:15" x14ac:dyDescent="0.3">
      <c r="A74" s="63" t="s">
        <v>142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1:15" x14ac:dyDescent="0.3">
      <c r="B75" s="64" t="s">
        <v>21</v>
      </c>
      <c r="C75" s="64"/>
      <c r="D75" s="64"/>
    </row>
    <row r="76" spans="1:15" x14ac:dyDescent="0.3">
      <c r="C76" s="1" t="s">
        <v>4</v>
      </c>
      <c r="D76" s="1" t="s">
        <v>5</v>
      </c>
      <c r="E76" s="1" t="s">
        <v>6</v>
      </c>
      <c r="F76" s="1"/>
      <c r="G76" s="1" t="s">
        <v>7</v>
      </c>
      <c r="H76" s="1" t="s">
        <v>8</v>
      </c>
      <c r="I76" s="3">
        <v>0.25</v>
      </c>
      <c r="J76" s="1"/>
      <c r="K76" s="1" t="s">
        <v>9</v>
      </c>
      <c r="L76" s="1"/>
      <c r="M76" s="3">
        <v>0.75</v>
      </c>
      <c r="N76" s="1" t="s">
        <v>10</v>
      </c>
    </row>
    <row r="77" spans="1:15" x14ac:dyDescent="0.3">
      <c r="A77" s="2">
        <v>1</v>
      </c>
      <c r="B77" s="7" t="s">
        <v>158</v>
      </c>
      <c r="C77" s="4">
        <v>54</v>
      </c>
      <c r="D77" s="4">
        <v>39</v>
      </c>
      <c r="E77" s="4">
        <v>34</v>
      </c>
      <c r="F77" s="5"/>
      <c r="G77" s="6">
        <f>SUM(C77:E77)</f>
        <v>127</v>
      </c>
      <c r="H77" s="4">
        <f>AVERAGE(C77:E77)</f>
        <v>42.333333333333336</v>
      </c>
      <c r="I77" s="4">
        <f>G77/12</f>
        <v>10.583333333333334</v>
      </c>
      <c r="J77" s="5"/>
      <c r="K77" s="4">
        <v>40</v>
      </c>
      <c r="L77" s="4">
        <f>K77*3</f>
        <v>120</v>
      </c>
      <c r="M77" s="4">
        <f>L77/4</f>
        <v>30</v>
      </c>
      <c r="N77" s="4">
        <f>M77+I77</f>
        <v>40.583333333333336</v>
      </c>
    </row>
    <row r="78" spans="1:15" x14ac:dyDescent="0.3">
      <c r="A78" s="2">
        <v>2</v>
      </c>
      <c r="B78" s="7" t="s">
        <v>154</v>
      </c>
      <c r="C78" s="4">
        <v>62</v>
      </c>
      <c r="D78" s="4">
        <v>58</v>
      </c>
      <c r="E78" s="4">
        <v>58</v>
      </c>
      <c r="F78" s="5"/>
      <c r="G78" s="6">
        <f t="shared" ref="G78:G92" si="21">SUM(C78:E78)</f>
        <v>178</v>
      </c>
      <c r="H78" s="4">
        <f t="shared" ref="H78:H92" si="22">AVERAGE(C78:E78)</f>
        <v>59.333333333333336</v>
      </c>
      <c r="I78" s="4">
        <f t="shared" ref="I78:I92" si="23">G78/12</f>
        <v>14.833333333333334</v>
      </c>
      <c r="J78" s="5"/>
      <c r="K78" s="4">
        <v>48</v>
      </c>
      <c r="L78" s="4">
        <f t="shared" ref="L78:L92" si="24">K78*3</f>
        <v>144</v>
      </c>
      <c r="M78" s="4">
        <f t="shared" ref="M78:M92" si="25">L78/4</f>
        <v>36</v>
      </c>
      <c r="N78" s="4">
        <f t="shared" ref="N78:N92" si="26">M78+I78</f>
        <v>50.833333333333336</v>
      </c>
    </row>
    <row r="79" spans="1:15" x14ac:dyDescent="0.3">
      <c r="A79" s="2">
        <v>3</v>
      </c>
      <c r="B79" s="7" t="s">
        <v>147</v>
      </c>
      <c r="C79" s="4">
        <v>39</v>
      </c>
      <c r="D79" s="4">
        <v>44</v>
      </c>
      <c r="E79" s="4">
        <v>34</v>
      </c>
      <c r="F79" s="5"/>
      <c r="G79" s="6">
        <f t="shared" si="21"/>
        <v>117</v>
      </c>
      <c r="H79" s="4">
        <f t="shared" si="22"/>
        <v>39</v>
      </c>
      <c r="I79" s="4">
        <f t="shared" si="23"/>
        <v>9.75</v>
      </c>
      <c r="J79" s="5"/>
      <c r="K79" s="4">
        <v>35</v>
      </c>
      <c r="L79" s="4">
        <f t="shared" si="24"/>
        <v>105</v>
      </c>
      <c r="M79" s="4">
        <f t="shared" si="25"/>
        <v>26.25</v>
      </c>
      <c r="N79" s="4">
        <f t="shared" si="26"/>
        <v>36</v>
      </c>
    </row>
    <row r="80" spans="1:15" x14ac:dyDescent="0.3">
      <c r="A80" s="2">
        <v>4</v>
      </c>
      <c r="B80" s="7" t="s">
        <v>152</v>
      </c>
      <c r="C80" s="4">
        <v>41</v>
      </c>
      <c r="D80" s="4">
        <v>44</v>
      </c>
      <c r="E80" s="4">
        <v>30</v>
      </c>
      <c r="F80" s="5"/>
      <c r="G80" s="6">
        <f t="shared" si="21"/>
        <v>115</v>
      </c>
      <c r="H80" s="4">
        <f t="shared" si="22"/>
        <v>38.333333333333336</v>
      </c>
      <c r="I80" s="4">
        <f t="shared" si="23"/>
        <v>9.5833333333333339</v>
      </c>
      <c r="J80" s="5"/>
      <c r="K80" s="4">
        <v>41</v>
      </c>
      <c r="L80" s="4">
        <f t="shared" si="24"/>
        <v>123</v>
      </c>
      <c r="M80" s="4">
        <f t="shared" si="25"/>
        <v>30.75</v>
      </c>
      <c r="N80" s="4">
        <f t="shared" si="26"/>
        <v>40.333333333333336</v>
      </c>
    </row>
    <row r="81" spans="1:15" x14ac:dyDescent="0.3">
      <c r="A81" s="2">
        <v>5</v>
      </c>
      <c r="B81" s="7" t="s">
        <v>144</v>
      </c>
      <c r="C81" s="4">
        <v>28</v>
      </c>
      <c r="D81" s="4">
        <v>39</v>
      </c>
      <c r="E81" s="4">
        <v>37</v>
      </c>
      <c r="F81" s="5"/>
      <c r="G81" s="6">
        <f t="shared" si="21"/>
        <v>104</v>
      </c>
      <c r="H81" s="4">
        <f t="shared" si="22"/>
        <v>34.666666666666664</v>
      </c>
      <c r="I81" s="4">
        <f t="shared" si="23"/>
        <v>8.6666666666666661</v>
      </c>
      <c r="J81" s="5"/>
      <c r="K81" s="4">
        <v>33</v>
      </c>
      <c r="L81" s="4">
        <f t="shared" si="24"/>
        <v>99</v>
      </c>
      <c r="M81" s="4">
        <f t="shared" si="25"/>
        <v>24.75</v>
      </c>
      <c r="N81" s="4">
        <f t="shared" si="26"/>
        <v>33.416666666666664</v>
      </c>
    </row>
    <row r="82" spans="1:15" x14ac:dyDescent="0.3">
      <c r="A82" s="2">
        <v>6</v>
      </c>
      <c r="B82" s="7" t="s">
        <v>157</v>
      </c>
      <c r="C82" s="4">
        <v>71</v>
      </c>
      <c r="D82" s="4">
        <v>70</v>
      </c>
      <c r="E82" s="4">
        <v>62</v>
      </c>
      <c r="F82" s="5"/>
      <c r="G82" s="6">
        <f t="shared" si="21"/>
        <v>203</v>
      </c>
      <c r="H82" s="4">
        <f t="shared" si="22"/>
        <v>67.666666666666671</v>
      </c>
      <c r="I82" s="4">
        <f t="shared" si="23"/>
        <v>16.916666666666668</v>
      </c>
      <c r="J82" s="5"/>
      <c r="K82" s="4">
        <v>58</v>
      </c>
      <c r="L82" s="4">
        <f t="shared" si="24"/>
        <v>174</v>
      </c>
      <c r="M82" s="4">
        <f t="shared" si="25"/>
        <v>43.5</v>
      </c>
      <c r="N82" s="4">
        <f t="shared" si="26"/>
        <v>60.416666666666671</v>
      </c>
    </row>
    <row r="83" spans="1:15" x14ac:dyDescent="0.3">
      <c r="A83" s="2">
        <v>7</v>
      </c>
      <c r="B83" s="7" t="s">
        <v>155</v>
      </c>
      <c r="C83" s="4">
        <v>55</v>
      </c>
      <c r="D83" s="4">
        <v>55</v>
      </c>
      <c r="E83" s="4">
        <v>50</v>
      </c>
      <c r="F83" s="5"/>
      <c r="G83" s="6">
        <f t="shared" si="21"/>
        <v>160</v>
      </c>
      <c r="H83" s="4">
        <f t="shared" si="22"/>
        <v>53.333333333333336</v>
      </c>
      <c r="I83" s="4">
        <f t="shared" si="23"/>
        <v>13.333333333333334</v>
      </c>
      <c r="J83" s="5"/>
      <c r="K83" s="4">
        <v>51</v>
      </c>
      <c r="L83" s="4">
        <f t="shared" si="24"/>
        <v>153</v>
      </c>
      <c r="M83" s="4">
        <f t="shared" si="25"/>
        <v>38.25</v>
      </c>
      <c r="N83" s="4">
        <f t="shared" si="26"/>
        <v>51.583333333333336</v>
      </c>
    </row>
    <row r="84" spans="1:15" x14ac:dyDescent="0.3">
      <c r="A84" s="2">
        <v>8</v>
      </c>
      <c r="B84" s="7" t="s">
        <v>149</v>
      </c>
      <c r="C84" s="4">
        <v>45</v>
      </c>
      <c r="D84" s="4">
        <v>41</v>
      </c>
      <c r="E84" s="4">
        <v>38</v>
      </c>
      <c r="F84" s="5"/>
      <c r="G84" s="6">
        <f t="shared" si="21"/>
        <v>124</v>
      </c>
      <c r="H84" s="4">
        <f t="shared" si="22"/>
        <v>41.333333333333336</v>
      </c>
      <c r="I84" s="4">
        <f t="shared" si="23"/>
        <v>10.333333333333334</v>
      </c>
      <c r="J84" s="5"/>
      <c r="K84" s="4">
        <v>40</v>
      </c>
      <c r="L84" s="4">
        <f t="shared" si="24"/>
        <v>120</v>
      </c>
      <c r="M84" s="4">
        <f t="shared" si="25"/>
        <v>30</v>
      </c>
      <c r="N84" s="4">
        <f t="shared" si="26"/>
        <v>40.333333333333336</v>
      </c>
    </row>
    <row r="85" spans="1:15" x14ac:dyDescent="0.3">
      <c r="A85" s="2">
        <v>9</v>
      </c>
      <c r="B85" s="7" t="s">
        <v>143</v>
      </c>
      <c r="C85" s="4">
        <v>80</v>
      </c>
      <c r="D85" s="4">
        <v>81</v>
      </c>
      <c r="E85" s="4">
        <v>76</v>
      </c>
      <c r="F85" s="5"/>
      <c r="G85" s="6">
        <f t="shared" si="21"/>
        <v>237</v>
      </c>
      <c r="H85" s="4">
        <f t="shared" si="22"/>
        <v>79</v>
      </c>
      <c r="I85" s="4">
        <f t="shared" si="23"/>
        <v>19.75</v>
      </c>
      <c r="J85" s="5"/>
      <c r="K85" s="4">
        <v>81</v>
      </c>
      <c r="L85" s="4">
        <f t="shared" si="24"/>
        <v>243</v>
      </c>
      <c r="M85" s="4">
        <f t="shared" si="25"/>
        <v>60.75</v>
      </c>
      <c r="N85" s="4">
        <f t="shared" si="26"/>
        <v>80.5</v>
      </c>
    </row>
    <row r="86" spans="1:15" x14ac:dyDescent="0.3">
      <c r="A86" s="2">
        <v>10</v>
      </c>
      <c r="B86" s="7" t="s">
        <v>146</v>
      </c>
      <c r="C86" s="4">
        <v>82</v>
      </c>
      <c r="D86" s="4">
        <v>80</v>
      </c>
      <c r="E86" s="4">
        <v>74</v>
      </c>
      <c r="F86" s="5"/>
      <c r="G86" s="6">
        <f t="shared" si="21"/>
        <v>236</v>
      </c>
      <c r="H86" s="4">
        <f t="shared" si="22"/>
        <v>78.666666666666671</v>
      </c>
      <c r="I86" s="4">
        <f t="shared" si="23"/>
        <v>19.666666666666668</v>
      </c>
      <c r="J86" s="5"/>
      <c r="K86" s="4">
        <v>83</v>
      </c>
      <c r="L86" s="4">
        <f t="shared" si="24"/>
        <v>249</v>
      </c>
      <c r="M86" s="4">
        <f t="shared" si="25"/>
        <v>62.25</v>
      </c>
      <c r="N86" s="4">
        <f t="shared" si="26"/>
        <v>81.916666666666671</v>
      </c>
    </row>
    <row r="87" spans="1:15" x14ac:dyDescent="0.3">
      <c r="A87" s="2">
        <v>11</v>
      </c>
      <c r="B87" s="7" t="s">
        <v>145</v>
      </c>
      <c r="C87" s="4">
        <v>62</v>
      </c>
      <c r="D87" s="4">
        <v>54</v>
      </c>
      <c r="E87" s="4">
        <v>58</v>
      </c>
      <c r="F87" s="5"/>
      <c r="G87" s="6">
        <f t="shared" si="21"/>
        <v>174</v>
      </c>
      <c r="H87" s="4">
        <f t="shared" si="22"/>
        <v>58</v>
      </c>
      <c r="I87" s="4">
        <f t="shared" si="23"/>
        <v>14.5</v>
      </c>
      <c r="J87" s="5"/>
      <c r="K87" s="4">
        <v>65</v>
      </c>
      <c r="L87" s="4">
        <f t="shared" si="24"/>
        <v>195</v>
      </c>
      <c r="M87" s="4">
        <f t="shared" si="25"/>
        <v>48.75</v>
      </c>
      <c r="N87" s="4">
        <f t="shared" si="26"/>
        <v>63.25</v>
      </c>
    </row>
    <row r="88" spans="1:15" x14ac:dyDescent="0.3">
      <c r="A88" s="2">
        <v>12</v>
      </c>
      <c r="B88" s="7" t="s">
        <v>148</v>
      </c>
      <c r="C88" s="4">
        <v>58</v>
      </c>
      <c r="D88" s="4">
        <v>66</v>
      </c>
      <c r="E88" s="4">
        <v>59</v>
      </c>
      <c r="F88" s="5"/>
      <c r="G88" s="6">
        <f t="shared" si="21"/>
        <v>183</v>
      </c>
      <c r="H88" s="4">
        <f t="shared" si="22"/>
        <v>61</v>
      </c>
      <c r="I88" s="4">
        <f t="shared" si="23"/>
        <v>15.25</v>
      </c>
      <c r="J88" s="5"/>
      <c r="K88" s="4">
        <v>58</v>
      </c>
      <c r="L88" s="4">
        <f t="shared" si="24"/>
        <v>174</v>
      </c>
      <c r="M88" s="4">
        <f t="shared" si="25"/>
        <v>43.5</v>
      </c>
      <c r="N88" s="4">
        <f t="shared" si="26"/>
        <v>58.75</v>
      </c>
    </row>
    <row r="89" spans="1:15" x14ac:dyDescent="0.3">
      <c r="A89" s="2">
        <v>13</v>
      </c>
      <c r="B89" s="7" t="s">
        <v>150</v>
      </c>
      <c r="C89" s="4">
        <v>45</v>
      </c>
      <c r="D89" s="4">
        <v>47</v>
      </c>
      <c r="E89" s="4">
        <v>48</v>
      </c>
      <c r="F89" s="5"/>
      <c r="G89" s="6">
        <f t="shared" si="21"/>
        <v>140</v>
      </c>
      <c r="H89" s="4">
        <f t="shared" si="22"/>
        <v>46.666666666666664</v>
      </c>
      <c r="I89" s="4">
        <f t="shared" si="23"/>
        <v>11.666666666666666</v>
      </c>
      <c r="J89" s="5"/>
      <c r="K89" s="4">
        <v>44</v>
      </c>
      <c r="L89" s="4">
        <f t="shared" si="24"/>
        <v>132</v>
      </c>
      <c r="M89" s="4">
        <f t="shared" si="25"/>
        <v>33</v>
      </c>
      <c r="N89" s="4">
        <f t="shared" si="26"/>
        <v>44.666666666666664</v>
      </c>
    </row>
    <row r="90" spans="1:15" x14ac:dyDescent="0.3">
      <c r="A90" s="2">
        <v>14</v>
      </c>
      <c r="B90" s="7" t="s">
        <v>153</v>
      </c>
      <c r="C90" s="4">
        <v>72</v>
      </c>
      <c r="D90" s="4">
        <v>72</v>
      </c>
      <c r="E90" s="4">
        <v>69</v>
      </c>
      <c r="F90" s="5"/>
      <c r="G90" s="6">
        <f t="shared" si="21"/>
        <v>213</v>
      </c>
      <c r="H90" s="4">
        <f t="shared" si="22"/>
        <v>71</v>
      </c>
      <c r="I90" s="4">
        <f t="shared" si="23"/>
        <v>17.75</v>
      </c>
      <c r="J90" s="5"/>
      <c r="K90" s="4">
        <v>72</v>
      </c>
      <c r="L90" s="4">
        <f t="shared" si="24"/>
        <v>216</v>
      </c>
      <c r="M90" s="4">
        <f t="shared" si="25"/>
        <v>54</v>
      </c>
      <c r="N90" s="4">
        <f t="shared" si="26"/>
        <v>71.75</v>
      </c>
    </row>
    <row r="91" spans="1:15" x14ac:dyDescent="0.3">
      <c r="A91" s="2">
        <v>15</v>
      </c>
      <c r="B91" s="7" t="s">
        <v>156</v>
      </c>
      <c r="C91" s="4">
        <v>38</v>
      </c>
      <c r="D91" s="4">
        <v>39</v>
      </c>
      <c r="E91" s="4">
        <v>38</v>
      </c>
      <c r="F91" s="5"/>
      <c r="G91" s="6">
        <f t="shared" si="21"/>
        <v>115</v>
      </c>
      <c r="H91" s="4">
        <f t="shared" si="22"/>
        <v>38.333333333333336</v>
      </c>
      <c r="I91" s="4">
        <f t="shared" si="23"/>
        <v>9.5833333333333339</v>
      </c>
      <c r="J91" s="5"/>
      <c r="K91" s="4">
        <v>35</v>
      </c>
      <c r="L91" s="4">
        <f t="shared" si="24"/>
        <v>105</v>
      </c>
      <c r="M91" s="4">
        <f t="shared" si="25"/>
        <v>26.25</v>
      </c>
      <c r="N91" s="4">
        <f t="shared" si="26"/>
        <v>35.833333333333336</v>
      </c>
    </row>
    <row r="92" spans="1:15" x14ac:dyDescent="0.3">
      <c r="A92" s="2">
        <v>16</v>
      </c>
      <c r="B92" s="7" t="s">
        <v>151</v>
      </c>
      <c r="C92" s="4">
        <v>35</v>
      </c>
      <c r="D92" s="4">
        <v>33</v>
      </c>
      <c r="E92" s="4">
        <v>40</v>
      </c>
      <c r="F92" s="5"/>
      <c r="G92" s="6">
        <f t="shared" si="21"/>
        <v>108</v>
      </c>
      <c r="H92" s="4">
        <f t="shared" si="22"/>
        <v>36</v>
      </c>
      <c r="I92" s="4">
        <f t="shared" si="23"/>
        <v>9</v>
      </c>
      <c r="J92" s="5"/>
      <c r="K92" s="4">
        <v>29</v>
      </c>
      <c r="L92" s="4">
        <f t="shared" si="24"/>
        <v>87</v>
      </c>
      <c r="M92" s="4">
        <f t="shared" si="25"/>
        <v>21.75</v>
      </c>
      <c r="N92" s="4">
        <f t="shared" si="26"/>
        <v>30.75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142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107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7" t="s">
        <v>158</v>
      </c>
      <c r="C100" s="4">
        <v>62</v>
      </c>
      <c r="D100" s="4">
        <v>52</v>
      </c>
      <c r="E100" s="4">
        <v>73</v>
      </c>
      <c r="F100" s="5"/>
      <c r="G100" s="6">
        <f>SUM(C100:E100)</f>
        <v>187</v>
      </c>
      <c r="H100" s="4">
        <f>AVERAGE(C100:E100)</f>
        <v>62.333333333333336</v>
      </c>
      <c r="I100" s="4">
        <f>G100/12</f>
        <v>15.583333333333334</v>
      </c>
      <c r="J100" s="5"/>
      <c r="K100" s="4">
        <v>62</v>
      </c>
      <c r="L100" s="4">
        <f>K100*3</f>
        <v>186</v>
      </c>
      <c r="M100" s="4">
        <f>L100/4</f>
        <v>46.5</v>
      </c>
      <c r="N100" s="4">
        <f>M100+I100</f>
        <v>62.083333333333336</v>
      </c>
    </row>
    <row r="101" spans="1:15" x14ac:dyDescent="0.3">
      <c r="A101" s="2">
        <v>2</v>
      </c>
      <c r="B101" s="7" t="s">
        <v>154</v>
      </c>
      <c r="C101" s="4">
        <v>55</v>
      </c>
      <c r="D101" s="4">
        <v>38</v>
      </c>
      <c r="E101" s="4">
        <v>62</v>
      </c>
      <c r="F101" s="5"/>
      <c r="G101" s="6">
        <f t="shared" ref="G101:G115" si="27">SUM(C101:E101)</f>
        <v>155</v>
      </c>
      <c r="H101" s="4">
        <f t="shared" ref="H101:H115" si="28">AVERAGE(C101:E101)</f>
        <v>51.666666666666664</v>
      </c>
      <c r="I101" s="4">
        <f t="shared" ref="I101:I115" si="29">G101/12</f>
        <v>12.916666666666666</v>
      </c>
      <c r="J101" s="5"/>
      <c r="K101" s="4">
        <v>58</v>
      </c>
      <c r="L101" s="4">
        <f t="shared" ref="L101:L115" si="30">K101*3</f>
        <v>174</v>
      </c>
      <c r="M101" s="4">
        <f t="shared" ref="M101:M115" si="31">L101/4</f>
        <v>43.5</v>
      </c>
      <c r="N101" s="4">
        <f t="shared" ref="N101:N115" si="32">M101+I101</f>
        <v>56.416666666666664</v>
      </c>
    </row>
    <row r="102" spans="1:15" x14ac:dyDescent="0.3">
      <c r="A102" s="2">
        <v>3</v>
      </c>
      <c r="B102" s="7" t="s">
        <v>147</v>
      </c>
      <c r="C102" s="4">
        <v>38</v>
      </c>
      <c r="D102" s="4">
        <v>41</v>
      </c>
      <c r="E102" s="4">
        <v>54</v>
      </c>
      <c r="F102" s="5"/>
      <c r="G102" s="6">
        <f t="shared" si="27"/>
        <v>133</v>
      </c>
      <c r="H102" s="4">
        <f t="shared" si="28"/>
        <v>44.333333333333336</v>
      </c>
      <c r="I102" s="4">
        <f t="shared" si="29"/>
        <v>11.083333333333334</v>
      </c>
      <c r="J102" s="5"/>
      <c r="K102" s="4">
        <v>45</v>
      </c>
      <c r="L102" s="4">
        <f t="shared" si="30"/>
        <v>135</v>
      </c>
      <c r="M102" s="4">
        <f t="shared" si="31"/>
        <v>33.75</v>
      </c>
      <c r="N102" s="4">
        <f t="shared" si="32"/>
        <v>44.833333333333336</v>
      </c>
    </row>
    <row r="103" spans="1:15" x14ac:dyDescent="0.3">
      <c r="A103" s="2">
        <v>4</v>
      </c>
      <c r="B103" s="7" t="s">
        <v>152</v>
      </c>
      <c r="C103" s="4">
        <v>45</v>
      </c>
      <c r="D103" s="4">
        <v>55</v>
      </c>
      <c r="E103" s="4">
        <v>44</v>
      </c>
      <c r="F103" s="5"/>
      <c r="G103" s="6">
        <f t="shared" si="27"/>
        <v>144</v>
      </c>
      <c r="H103" s="4">
        <f t="shared" si="28"/>
        <v>48</v>
      </c>
      <c r="I103" s="4">
        <f t="shared" si="29"/>
        <v>12</v>
      </c>
      <c r="J103" s="5"/>
      <c r="K103" s="4">
        <v>41</v>
      </c>
      <c r="L103" s="4">
        <f t="shared" si="30"/>
        <v>123</v>
      </c>
      <c r="M103" s="4">
        <f t="shared" si="31"/>
        <v>30.75</v>
      </c>
      <c r="N103" s="4">
        <f t="shared" si="32"/>
        <v>42.75</v>
      </c>
    </row>
    <row r="104" spans="1:15" x14ac:dyDescent="0.3">
      <c r="A104" s="2">
        <v>5</v>
      </c>
      <c r="B104" s="7" t="s">
        <v>144</v>
      </c>
      <c r="C104" s="4">
        <v>52</v>
      </c>
      <c r="D104" s="4">
        <v>38</v>
      </c>
      <c r="E104" s="4">
        <v>56</v>
      </c>
      <c r="F104" s="5"/>
      <c r="G104" s="6">
        <f t="shared" si="27"/>
        <v>146</v>
      </c>
      <c r="H104" s="4">
        <f t="shared" si="28"/>
        <v>48.666666666666664</v>
      </c>
      <c r="I104" s="4">
        <f t="shared" si="29"/>
        <v>12.166666666666666</v>
      </c>
      <c r="J104" s="5"/>
      <c r="K104" s="4">
        <v>48</v>
      </c>
      <c r="L104" s="4">
        <f t="shared" si="30"/>
        <v>144</v>
      </c>
      <c r="M104" s="4">
        <f t="shared" si="31"/>
        <v>36</v>
      </c>
      <c r="N104" s="4">
        <f t="shared" si="32"/>
        <v>48.166666666666664</v>
      </c>
    </row>
    <row r="105" spans="1:15" x14ac:dyDescent="0.3">
      <c r="A105" s="2">
        <v>6</v>
      </c>
      <c r="B105" s="7" t="s">
        <v>157</v>
      </c>
      <c r="C105" s="4">
        <v>86</v>
      </c>
      <c r="D105" s="4">
        <v>86</v>
      </c>
      <c r="E105" s="4">
        <v>89</v>
      </c>
      <c r="F105" s="5"/>
      <c r="G105" s="6">
        <f t="shared" si="27"/>
        <v>261</v>
      </c>
      <c r="H105" s="4">
        <f t="shared" si="28"/>
        <v>87</v>
      </c>
      <c r="I105" s="4">
        <f t="shared" si="29"/>
        <v>21.75</v>
      </c>
      <c r="J105" s="5"/>
      <c r="K105" s="4">
        <v>85</v>
      </c>
      <c r="L105" s="4">
        <f t="shared" si="30"/>
        <v>255</v>
      </c>
      <c r="M105" s="4">
        <f t="shared" si="31"/>
        <v>63.75</v>
      </c>
      <c r="N105" s="4">
        <f t="shared" si="32"/>
        <v>85.5</v>
      </c>
    </row>
    <row r="106" spans="1:15" x14ac:dyDescent="0.3">
      <c r="A106" s="2">
        <v>7</v>
      </c>
      <c r="B106" s="7" t="s">
        <v>155</v>
      </c>
      <c r="C106" s="4">
        <v>38</v>
      </c>
      <c r="D106" s="4">
        <v>54</v>
      </c>
      <c r="E106" s="4">
        <v>54</v>
      </c>
      <c r="F106" s="5"/>
      <c r="G106" s="6">
        <f t="shared" si="27"/>
        <v>146</v>
      </c>
      <c r="H106" s="4">
        <f t="shared" si="28"/>
        <v>48.666666666666664</v>
      </c>
      <c r="I106" s="4">
        <f t="shared" si="29"/>
        <v>12.166666666666666</v>
      </c>
      <c r="J106" s="5"/>
      <c r="K106" s="4">
        <v>44</v>
      </c>
      <c r="L106" s="4">
        <f t="shared" si="30"/>
        <v>132</v>
      </c>
      <c r="M106" s="4">
        <f t="shared" si="31"/>
        <v>33</v>
      </c>
      <c r="N106" s="4">
        <f t="shared" si="32"/>
        <v>45.166666666666664</v>
      </c>
    </row>
    <row r="107" spans="1:15" x14ac:dyDescent="0.3">
      <c r="A107" s="2">
        <v>8</v>
      </c>
      <c r="B107" s="7" t="s">
        <v>149</v>
      </c>
      <c r="C107" s="4">
        <v>54</v>
      </c>
      <c r="D107" s="4">
        <v>65</v>
      </c>
      <c r="E107" s="4">
        <v>56</v>
      </c>
      <c r="F107" s="5"/>
      <c r="G107" s="6">
        <f t="shared" si="27"/>
        <v>175</v>
      </c>
      <c r="H107" s="4">
        <f t="shared" si="28"/>
        <v>58.333333333333336</v>
      </c>
      <c r="I107" s="4">
        <f t="shared" si="29"/>
        <v>14.583333333333334</v>
      </c>
      <c r="J107" s="5"/>
      <c r="K107" s="4">
        <v>52</v>
      </c>
      <c r="L107" s="4">
        <f t="shared" si="30"/>
        <v>156</v>
      </c>
      <c r="M107" s="4">
        <f t="shared" si="31"/>
        <v>39</v>
      </c>
      <c r="N107" s="4">
        <f t="shared" si="32"/>
        <v>53.583333333333336</v>
      </c>
    </row>
    <row r="108" spans="1:15" x14ac:dyDescent="0.3">
      <c r="A108" s="2">
        <v>9</v>
      </c>
      <c r="B108" s="7" t="s">
        <v>143</v>
      </c>
      <c r="C108" s="4">
        <v>92</v>
      </c>
      <c r="D108" s="4">
        <v>88</v>
      </c>
      <c r="E108" s="4">
        <v>92</v>
      </c>
      <c r="F108" s="5"/>
      <c r="G108" s="6">
        <f t="shared" si="27"/>
        <v>272</v>
      </c>
      <c r="H108" s="4">
        <f t="shared" si="28"/>
        <v>90.666666666666671</v>
      </c>
      <c r="I108" s="4">
        <f t="shared" si="29"/>
        <v>22.666666666666668</v>
      </c>
      <c r="J108" s="5"/>
      <c r="K108" s="4">
        <v>87</v>
      </c>
      <c r="L108" s="4">
        <f t="shared" si="30"/>
        <v>261</v>
      </c>
      <c r="M108" s="4">
        <f t="shared" si="31"/>
        <v>65.25</v>
      </c>
      <c r="N108" s="4">
        <f t="shared" si="32"/>
        <v>87.916666666666671</v>
      </c>
    </row>
    <row r="109" spans="1:15" x14ac:dyDescent="0.3">
      <c r="A109" s="2">
        <v>10</v>
      </c>
      <c r="B109" s="7" t="s">
        <v>146</v>
      </c>
      <c r="C109" s="4">
        <v>90</v>
      </c>
      <c r="D109" s="4">
        <v>92</v>
      </c>
      <c r="E109" s="4">
        <v>93</v>
      </c>
      <c r="F109" s="5"/>
      <c r="G109" s="6">
        <f t="shared" si="27"/>
        <v>275</v>
      </c>
      <c r="H109" s="4">
        <f t="shared" si="28"/>
        <v>91.666666666666671</v>
      </c>
      <c r="I109" s="4">
        <f t="shared" si="29"/>
        <v>22.916666666666668</v>
      </c>
      <c r="J109" s="5"/>
      <c r="K109" s="4">
        <v>91</v>
      </c>
      <c r="L109" s="4">
        <f t="shared" si="30"/>
        <v>273</v>
      </c>
      <c r="M109" s="4">
        <f t="shared" si="31"/>
        <v>68.25</v>
      </c>
      <c r="N109" s="4">
        <f t="shared" si="32"/>
        <v>91.166666666666671</v>
      </c>
    </row>
    <row r="110" spans="1:15" x14ac:dyDescent="0.3">
      <c r="A110" s="2">
        <v>11</v>
      </c>
      <c r="B110" s="7" t="s">
        <v>145</v>
      </c>
      <c r="C110" s="4">
        <v>55</v>
      </c>
      <c r="D110" s="4">
        <v>54</v>
      </c>
      <c r="E110" s="4">
        <v>54</v>
      </c>
      <c r="F110" s="5"/>
      <c r="G110" s="6">
        <f t="shared" si="27"/>
        <v>163</v>
      </c>
      <c r="H110" s="4">
        <f t="shared" si="28"/>
        <v>54.333333333333336</v>
      </c>
      <c r="I110" s="4">
        <f t="shared" si="29"/>
        <v>13.583333333333334</v>
      </c>
      <c r="J110" s="5"/>
      <c r="K110" s="4">
        <v>56</v>
      </c>
      <c r="L110" s="4">
        <f t="shared" si="30"/>
        <v>168</v>
      </c>
      <c r="M110" s="4">
        <f t="shared" si="31"/>
        <v>42</v>
      </c>
      <c r="N110" s="4">
        <f t="shared" si="32"/>
        <v>55.583333333333336</v>
      </c>
    </row>
    <row r="111" spans="1:15" x14ac:dyDescent="0.3">
      <c r="A111" s="2">
        <v>12</v>
      </c>
      <c r="B111" s="7" t="s">
        <v>148</v>
      </c>
      <c r="C111" s="4">
        <v>69</v>
      </c>
      <c r="D111" s="4">
        <v>48</v>
      </c>
      <c r="E111" s="4">
        <v>45</v>
      </c>
      <c r="F111" s="5"/>
      <c r="G111" s="6">
        <f t="shared" si="27"/>
        <v>162</v>
      </c>
      <c r="H111" s="4">
        <f t="shared" si="28"/>
        <v>54</v>
      </c>
      <c r="I111" s="4">
        <f t="shared" si="29"/>
        <v>13.5</v>
      </c>
      <c r="J111" s="5"/>
      <c r="K111" s="4">
        <v>52</v>
      </c>
      <c r="L111" s="4">
        <f t="shared" si="30"/>
        <v>156</v>
      </c>
      <c r="M111" s="4">
        <f t="shared" si="31"/>
        <v>39</v>
      </c>
      <c r="N111" s="4">
        <f t="shared" si="32"/>
        <v>52.5</v>
      </c>
    </row>
    <row r="112" spans="1:15" x14ac:dyDescent="0.3">
      <c r="A112" s="2">
        <v>13</v>
      </c>
      <c r="B112" s="7" t="s">
        <v>150</v>
      </c>
      <c r="C112" s="4">
        <v>72</v>
      </c>
      <c r="D112" s="4">
        <v>75</v>
      </c>
      <c r="E112" s="4">
        <v>55</v>
      </c>
      <c r="F112" s="5"/>
      <c r="G112" s="6">
        <f t="shared" si="27"/>
        <v>202</v>
      </c>
      <c r="H112" s="4">
        <f t="shared" si="28"/>
        <v>67.333333333333329</v>
      </c>
      <c r="I112" s="4">
        <f t="shared" si="29"/>
        <v>16.833333333333332</v>
      </c>
      <c r="J112" s="5"/>
      <c r="K112" s="4">
        <v>59</v>
      </c>
      <c r="L112" s="4">
        <f t="shared" si="30"/>
        <v>177</v>
      </c>
      <c r="M112" s="4">
        <f t="shared" si="31"/>
        <v>44.25</v>
      </c>
      <c r="N112" s="4">
        <f t="shared" si="32"/>
        <v>61.083333333333329</v>
      </c>
    </row>
    <row r="113" spans="1:15" x14ac:dyDescent="0.3">
      <c r="A113" s="2">
        <v>14</v>
      </c>
      <c r="B113" s="7" t="s">
        <v>153</v>
      </c>
      <c r="C113" s="4">
        <v>89</v>
      </c>
      <c r="D113" s="4">
        <v>89</v>
      </c>
      <c r="E113" s="4">
        <v>91</v>
      </c>
      <c r="F113" s="5"/>
      <c r="G113" s="6">
        <f t="shared" si="27"/>
        <v>269</v>
      </c>
      <c r="H113" s="4">
        <f t="shared" si="28"/>
        <v>89.666666666666671</v>
      </c>
      <c r="I113" s="4">
        <f t="shared" si="29"/>
        <v>22.416666666666668</v>
      </c>
      <c r="J113" s="5"/>
      <c r="K113" s="4">
        <v>89</v>
      </c>
      <c r="L113" s="4">
        <f t="shared" si="30"/>
        <v>267</v>
      </c>
      <c r="M113" s="4">
        <f t="shared" si="31"/>
        <v>66.75</v>
      </c>
      <c r="N113" s="4">
        <f t="shared" si="32"/>
        <v>89.166666666666671</v>
      </c>
    </row>
    <row r="114" spans="1:15" x14ac:dyDescent="0.3">
      <c r="A114" s="2">
        <v>15</v>
      </c>
      <c r="B114" s="7" t="s">
        <v>156</v>
      </c>
      <c r="C114" s="4">
        <v>55</v>
      </c>
      <c r="D114" s="4">
        <v>58</v>
      </c>
      <c r="E114" s="4">
        <v>65</v>
      </c>
      <c r="F114" s="5"/>
      <c r="G114" s="6">
        <f t="shared" si="27"/>
        <v>178</v>
      </c>
      <c r="H114" s="4">
        <f t="shared" si="28"/>
        <v>59.333333333333336</v>
      </c>
      <c r="I114" s="4">
        <f t="shared" si="29"/>
        <v>14.833333333333334</v>
      </c>
      <c r="J114" s="5"/>
      <c r="K114" s="4">
        <v>54</v>
      </c>
      <c r="L114" s="4">
        <f t="shared" si="30"/>
        <v>162</v>
      </c>
      <c r="M114" s="4">
        <f t="shared" si="31"/>
        <v>40.5</v>
      </c>
      <c r="N114" s="4">
        <f t="shared" si="32"/>
        <v>55.333333333333336</v>
      </c>
    </row>
    <row r="115" spans="1:15" x14ac:dyDescent="0.3">
      <c r="A115" s="2">
        <v>16</v>
      </c>
      <c r="B115" s="7" t="s">
        <v>151</v>
      </c>
      <c r="C115" s="4">
        <v>69</v>
      </c>
      <c r="D115" s="4">
        <v>70</v>
      </c>
      <c r="E115" s="4">
        <v>55</v>
      </c>
      <c r="F115" s="5"/>
      <c r="G115" s="6">
        <f t="shared" si="27"/>
        <v>194</v>
      </c>
      <c r="H115" s="4">
        <f t="shared" si="28"/>
        <v>64.666666666666671</v>
      </c>
      <c r="I115" s="4">
        <f t="shared" si="29"/>
        <v>16.166666666666668</v>
      </c>
      <c r="J115" s="5"/>
      <c r="K115" s="4">
        <v>62</v>
      </c>
      <c r="L115" s="4">
        <f t="shared" si="30"/>
        <v>186</v>
      </c>
      <c r="M115" s="4">
        <f t="shared" si="31"/>
        <v>46.5</v>
      </c>
      <c r="N115" s="4">
        <f t="shared" si="32"/>
        <v>62.666666666666671</v>
      </c>
    </row>
    <row r="119" spans="1:15" x14ac:dyDescent="0.3">
      <c r="A119" s="63" t="s">
        <v>0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x14ac:dyDescent="0.3">
      <c r="A120" s="63" t="s">
        <v>1</v>
      </c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1:15" x14ac:dyDescent="0.3">
      <c r="A121" s="63" t="s">
        <v>142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1:15" x14ac:dyDescent="0.3">
      <c r="B122" s="64" t="s">
        <v>160</v>
      </c>
      <c r="C122" s="64"/>
      <c r="D122" s="64"/>
    </row>
    <row r="123" spans="1:15" x14ac:dyDescent="0.3">
      <c r="C123" s="1" t="s">
        <v>4</v>
      </c>
      <c r="D123" s="1" t="s">
        <v>5</v>
      </c>
      <c r="E123" s="1" t="s">
        <v>6</v>
      </c>
      <c r="F123" s="1"/>
      <c r="G123" s="1" t="s">
        <v>7</v>
      </c>
      <c r="H123" s="1" t="s">
        <v>8</v>
      </c>
      <c r="I123" s="3">
        <v>0.25</v>
      </c>
      <c r="J123" s="1"/>
      <c r="K123" s="1" t="s">
        <v>9</v>
      </c>
      <c r="L123" s="1"/>
      <c r="M123" s="3">
        <v>0.75</v>
      </c>
      <c r="N123" s="1" t="s">
        <v>10</v>
      </c>
    </row>
    <row r="124" spans="1:15" x14ac:dyDescent="0.3">
      <c r="A124" s="2">
        <v>1</v>
      </c>
      <c r="B124" s="7" t="s">
        <v>158</v>
      </c>
      <c r="C124" s="4">
        <v>53</v>
      </c>
      <c r="D124" s="4">
        <v>38</v>
      </c>
      <c r="E124" s="4">
        <v>58</v>
      </c>
      <c r="F124" s="5"/>
      <c r="G124" s="6">
        <f>SUM(C124:E124)</f>
        <v>149</v>
      </c>
      <c r="H124" s="4">
        <f>AVERAGE(C124:E124)</f>
        <v>49.666666666666664</v>
      </c>
      <c r="I124" s="4">
        <f>G124/12</f>
        <v>12.416666666666666</v>
      </c>
      <c r="J124" s="5"/>
      <c r="K124" s="4">
        <v>51</v>
      </c>
      <c r="L124" s="4">
        <f>K124*3</f>
        <v>153</v>
      </c>
      <c r="M124" s="4">
        <f>L124/4</f>
        <v>38.25</v>
      </c>
      <c r="N124" s="4">
        <f>M124+I124</f>
        <v>50.666666666666664</v>
      </c>
    </row>
    <row r="125" spans="1:15" x14ac:dyDescent="0.3">
      <c r="A125" s="2">
        <v>2</v>
      </c>
      <c r="B125" s="7" t="s">
        <v>154</v>
      </c>
      <c r="C125" s="4">
        <v>39</v>
      </c>
      <c r="D125" s="4">
        <v>41</v>
      </c>
      <c r="E125" s="4">
        <v>62</v>
      </c>
      <c r="F125" s="5"/>
      <c r="G125" s="6">
        <f t="shared" ref="G125:G139" si="33">SUM(C125:E125)</f>
        <v>142</v>
      </c>
      <c r="H125" s="4">
        <f t="shared" ref="H125:H139" si="34">AVERAGE(C125:E125)</f>
        <v>47.333333333333336</v>
      </c>
      <c r="I125" s="4">
        <f t="shared" ref="I125:I139" si="35">G125/12</f>
        <v>11.833333333333334</v>
      </c>
      <c r="J125" s="5"/>
      <c r="K125" s="4">
        <v>41</v>
      </c>
      <c r="L125" s="4">
        <f t="shared" ref="L125:L139" si="36">K125*3</f>
        <v>123</v>
      </c>
      <c r="M125" s="4">
        <f t="shared" ref="M125:M139" si="37">L125/4</f>
        <v>30.75</v>
      </c>
      <c r="N125" s="4">
        <f t="shared" ref="N125:N139" si="38">M125+I125</f>
        <v>42.583333333333336</v>
      </c>
    </row>
    <row r="126" spans="1:15" x14ac:dyDescent="0.3">
      <c r="A126" s="2">
        <v>3</v>
      </c>
      <c r="B126" s="7" t="s">
        <v>147</v>
      </c>
      <c r="C126" s="4">
        <v>55</v>
      </c>
      <c r="D126" s="4">
        <v>33</v>
      </c>
      <c r="E126" s="4">
        <v>38</v>
      </c>
      <c r="F126" s="5"/>
      <c r="G126" s="6">
        <f t="shared" si="33"/>
        <v>126</v>
      </c>
      <c r="H126" s="4">
        <f t="shared" si="34"/>
        <v>42</v>
      </c>
      <c r="I126" s="4">
        <f t="shared" si="35"/>
        <v>10.5</v>
      </c>
      <c r="J126" s="5"/>
      <c r="K126" s="4">
        <v>42</v>
      </c>
      <c r="L126" s="4">
        <f t="shared" si="36"/>
        <v>126</v>
      </c>
      <c r="M126" s="4">
        <f t="shared" si="37"/>
        <v>31.5</v>
      </c>
      <c r="N126" s="4">
        <f t="shared" si="38"/>
        <v>42</v>
      </c>
    </row>
    <row r="127" spans="1:15" x14ac:dyDescent="0.3">
      <c r="A127" s="2">
        <v>4</v>
      </c>
      <c r="B127" s="7" t="s">
        <v>152</v>
      </c>
      <c r="C127" s="4">
        <v>41</v>
      </c>
      <c r="D127" s="4">
        <v>45</v>
      </c>
      <c r="E127" s="4">
        <v>45</v>
      </c>
      <c r="F127" s="5"/>
      <c r="G127" s="6">
        <f t="shared" si="33"/>
        <v>131</v>
      </c>
      <c r="H127" s="4">
        <f t="shared" si="34"/>
        <v>43.666666666666664</v>
      </c>
      <c r="I127" s="4">
        <f t="shared" si="35"/>
        <v>10.916666666666666</v>
      </c>
      <c r="J127" s="5"/>
      <c r="K127" s="4">
        <v>39</v>
      </c>
      <c r="L127" s="4">
        <f t="shared" si="36"/>
        <v>117</v>
      </c>
      <c r="M127" s="4">
        <f t="shared" si="37"/>
        <v>29.25</v>
      </c>
      <c r="N127" s="4">
        <f t="shared" si="38"/>
        <v>40.166666666666664</v>
      </c>
    </row>
    <row r="128" spans="1:15" x14ac:dyDescent="0.3">
      <c r="A128" s="2">
        <v>5</v>
      </c>
      <c r="B128" s="7" t="s">
        <v>144</v>
      </c>
      <c r="C128" s="4">
        <v>62</v>
      </c>
      <c r="D128" s="4">
        <v>58</v>
      </c>
      <c r="E128" s="4">
        <v>65</v>
      </c>
      <c r="F128" s="5"/>
      <c r="G128" s="6">
        <f t="shared" si="33"/>
        <v>185</v>
      </c>
      <c r="H128" s="4">
        <f t="shared" si="34"/>
        <v>61.666666666666664</v>
      </c>
      <c r="I128" s="4">
        <f t="shared" si="35"/>
        <v>15.416666666666666</v>
      </c>
      <c r="J128" s="5"/>
      <c r="K128" s="4">
        <v>65</v>
      </c>
      <c r="L128" s="4">
        <f t="shared" si="36"/>
        <v>195</v>
      </c>
      <c r="M128" s="4">
        <f t="shared" si="37"/>
        <v>48.75</v>
      </c>
      <c r="N128" s="4">
        <f t="shared" si="38"/>
        <v>64.166666666666671</v>
      </c>
    </row>
    <row r="129" spans="1:15" x14ac:dyDescent="0.3">
      <c r="A129" s="2">
        <v>6</v>
      </c>
      <c r="B129" s="7" t="s">
        <v>157</v>
      </c>
      <c r="C129" s="4">
        <v>91</v>
      </c>
      <c r="D129" s="4">
        <v>82</v>
      </c>
      <c r="E129" s="4">
        <v>87</v>
      </c>
      <c r="F129" s="5"/>
      <c r="G129" s="6">
        <f t="shared" si="33"/>
        <v>260</v>
      </c>
      <c r="H129" s="4">
        <f t="shared" si="34"/>
        <v>86.666666666666671</v>
      </c>
      <c r="I129" s="4">
        <f t="shared" si="35"/>
        <v>21.666666666666668</v>
      </c>
      <c r="J129" s="5"/>
      <c r="K129" s="4">
        <v>85</v>
      </c>
      <c r="L129" s="4">
        <f t="shared" si="36"/>
        <v>255</v>
      </c>
      <c r="M129" s="4">
        <f t="shared" si="37"/>
        <v>63.75</v>
      </c>
      <c r="N129" s="4">
        <f t="shared" si="38"/>
        <v>85.416666666666671</v>
      </c>
    </row>
    <row r="130" spans="1:15" x14ac:dyDescent="0.3">
      <c r="A130" s="2">
        <v>7</v>
      </c>
      <c r="B130" s="7" t="s">
        <v>155</v>
      </c>
      <c r="C130" s="4">
        <v>65</v>
      </c>
      <c r="D130" s="4">
        <v>54</v>
      </c>
      <c r="E130" s="4">
        <v>65</v>
      </c>
      <c r="F130" s="5"/>
      <c r="G130" s="6">
        <f t="shared" si="33"/>
        <v>184</v>
      </c>
      <c r="H130" s="4">
        <f t="shared" si="34"/>
        <v>61.333333333333336</v>
      </c>
      <c r="I130" s="4">
        <f t="shared" si="35"/>
        <v>15.333333333333334</v>
      </c>
      <c r="J130" s="5"/>
      <c r="K130" s="4">
        <v>62</v>
      </c>
      <c r="L130" s="4">
        <f t="shared" si="36"/>
        <v>186</v>
      </c>
      <c r="M130" s="4">
        <f t="shared" si="37"/>
        <v>46.5</v>
      </c>
      <c r="N130" s="4">
        <f t="shared" si="38"/>
        <v>61.833333333333336</v>
      </c>
    </row>
    <row r="131" spans="1:15" x14ac:dyDescent="0.3">
      <c r="A131" s="2">
        <v>8</v>
      </c>
      <c r="B131" s="7" t="s">
        <v>149</v>
      </c>
      <c r="C131" s="4">
        <v>59</v>
      </c>
      <c r="D131" s="4">
        <v>40</v>
      </c>
      <c r="E131" s="4">
        <v>52</v>
      </c>
      <c r="F131" s="5"/>
      <c r="G131" s="6">
        <f t="shared" si="33"/>
        <v>151</v>
      </c>
      <c r="H131" s="4">
        <f t="shared" si="34"/>
        <v>50.333333333333336</v>
      </c>
      <c r="I131" s="4">
        <f t="shared" si="35"/>
        <v>12.583333333333334</v>
      </c>
      <c r="J131" s="5"/>
      <c r="K131" s="4">
        <v>51</v>
      </c>
      <c r="L131" s="4">
        <f t="shared" si="36"/>
        <v>153</v>
      </c>
      <c r="M131" s="4">
        <f t="shared" si="37"/>
        <v>38.25</v>
      </c>
      <c r="N131" s="4">
        <f t="shared" si="38"/>
        <v>50.833333333333336</v>
      </c>
    </row>
    <row r="132" spans="1:15" x14ac:dyDescent="0.3">
      <c r="A132" s="2">
        <v>9</v>
      </c>
      <c r="B132" s="7" t="s">
        <v>143</v>
      </c>
      <c r="C132" s="4">
        <v>86</v>
      </c>
      <c r="D132" s="4">
        <v>81</v>
      </c>
      <c r="E132" s="4">
        <v>83</v>
      </c>
      <c r="F132" s="5"/>
      <c r="G132" s="6">
        <f t="shared" si="33"/>
        <v>250</v>
      </c>
      <c r="H132" s="4">
        <f t="shared" si="34"/>
        <v>83.333333333333329</v>
      </c>
      <c r="I132" s="4">
        <f t="shared" si="35"/>
        <v>20.833333333333332</v>
      </c>
      <c r="J132" s="5"/>
      <c r="K132" s="4">
        <v>81</v>
      </c>
      <c r="L132" s="4">
        <f t="shared" si="36"/>
        <v>243</v>
      </c>
      <c r="M132" s="4">
        <f t="shared" si="37"/>
        <v>60.75</v>
      </c>
      <c r="N132" s="4">
        <f t="shared" si="38"/>
        <v>81.583333333333329</v>
      </c>
    </row>
    <row r="133" spans="1:15" x14ac:dyDescent="0.3">
      <c r="A133" s="2">
        <v>10</v>
      </c>
      <c r="B133" s="7" t="s">
        <v>146</v>
      </c>
      <c r="C133" s="4">
        <v>84</v>
      </c>
      <c r="D133" s="4">
        <v>85</v>
      </c>
      <c r="E133" s="4">
        <v>84</v>
      </c>
      <c r="F133" s="5"/>
      <c r="G133" s="6">
        <f t="shared" si="33"/>
        <v>253</v>
      </c>
      <c r="H133" s="4">
        <f t="shared" si="34"/>
        <v>84.333333333333329</v>
      </c>
      <c r="I133" s="4">
        <f t="shared" si="35"/>
        <v>21.083333333333332</v>
      </c>
      <c r="J133" s="5"/>
      <c r="K133" s="4">
        <v>82</v>
      </c>
      <c r="L133" s="4">
        <f t="shared" si="36"/>
        <v>246</v>
      </c>
      <c r="M133" s="4">
        <f t="shared" si="37"/>
        <v>61.5</v>
      </c>
      <c r="N133" s="4">
        <f t="shared" si="38"/>
        <v>82.583333333333329</v>
      </c>
    </row>
    <row r="134" spans="1:15" x14ac:dyDescent="0.3">
      <c r="A134" s="2">
        <v>11</v>
      </c>
      <c r="B134" s="7" t="s">
        <v>145</v>
      </c>
      <c r="C134" s="4">
        <v>71</v>
      </c>
      <c r="D134" s="4">
        <v>84</v>
      </c>
      <c r="E134" s="4">
        <v>85</v>
      </c>
      <c r="F134" s="5"/>
      <c r="G134" s="6">
        <f t="shared" si="33"/>
        <v>240</v>
      </c>
      <c r="H134" s="4">
        <f t="shared" si="34"/>
        <v>80</v>
      </c>
      <c r="I134" s="4">
        <f t="shared" si="35"/>
        <v>20</v>
      </c>
      <c r="J134" s="5"/>
      <c r="K134" s="4">
        <v>81</v>
      </c>
      <c r="L134" s="4">
        <f t="shared" si="36"/>
        <v>243</v>
      </c>
      <c r="M134" s="4">
        <f t="shared" si="37"/>
        <v>60.75</v>
      </c>
      <c r="N134" s="4">
        <f t="shared" si="38"/>
        <v>80.75</v>
      </c>
    </row>
    <row r="135" spans="1:15" x14ac:dyDescent="0.3">
      <c r="A135" s="2">
        <v>12</v>
      </c>
      <c r="B135" s="7" t="s">
        <v>148</v>
      </c>
      <c r="C135" s="4">
        <v>69</v>
      </c>
      <c r="D135" s="4">
        <v>38</v>
      </c>
      <c r="E135" s="4">
        <v>65</v>
      </c>
      <c r="F135" s="5"/>
      <c r="G135" s="6">
        <f t="shared" si="33"/>
        <v>172</v>
      </c>
      <c r="H135" s="4">
        <f t="shared" si="34"/>
        <v>57.333333333333336</v>
      </c>
      <c r="I135" s="4">
        <f t="shared" si="35"/>
        <v>14.333333333333334</v>
      </c>
      <c r="J135" s="5"/>
      <c r="K135" s="4">
        <v>51</v>
      </c>
      <c r="L135" s="4">
        <f t="shared" si="36"/>
        <v>153</v>
      </c>
      <c r="M135" s="4">
        <f t="shared" si="37"/>
        <v>38.25</v>
      </c>
      <c r="N135" s="4">
        <f t="shared" si="38"/>
        <v>52.583333333333336</v>
      </c>
    </row>
    <row r="136" spans="1:15" x14ac:dyDescent="0.3">
      <c r="A136" s="2">
        <v>13</v>
      </c>
      <c r="B136" s="7" t="s">
        <v>150</v>
      </c>
      <c r="C136" s="4">
        <v>58</v>
      </c>
      <c r="D136" s="4">
        <v>45</v>
      </c>
      <c r="E136" s="4">
        <v>69</v>
      </c>
      <c r="F136" s="5"/>
      <c r="G136" s="6">
        <f t="shared" si="33"/>
        <v>172</v>
      </c>
      <c r="H136" s="4">
        <f t="shared" si="34"/>
        <v>57.333333333333336</v>
      </c>
      <c r="I136" s="4">
        <f t="shared" si="35"/>
        <v>14.333333333333334</v>
      </c>
      <c r="J136" s="5"/>
      <c r="K136" s="4">
        <v>41</v>
      </c>
      <c r="L136" s="4">
        <f t="shared" si="36"/>
        <v>123</v>
      </c>
      <c r="M136" s="4">
        <f t="shared" si="37"/>
        <v>30.75</v>
      </c>
      <c r="N136" s="4">
        <f t="shared" si="38"/>
        <v>45.083333333333336</v>
      </c>
    </row>
    <row r="137" spans="1:15" x14ac:dyDescent="0.3">
      <c r="A137" s="2">
        <v>14</v>
      </c>
      <c r="B137" s="7" t="s">
        <v>153</v>
      </c>
      <c r="C137" s="4">
        <v>88</v>
      </c>
      <c r="D137" s="4">
        <v>80</v>
      </c>
      <c r="E137" s="4">
        <v>82</v>
      </c>
      <c r="F137" s="5"/>
      <c r="G137" s="6">
        <f t="shared" si="33"/>
        <v>250</v>
      </c>
      <c r="H137" s="4">
        <f t="shared" si="34"/>
        <v>83.333333333333329</v>
      </c>
      <c r="I137" s="4">
        <f t="shared" si="35"/>
        <v>20.833333333333332</v>
      </c>
      <c r="J137" s="5"/>
      <c r="K137" s="4">
        <v>80</v>
      </c>
      <c r="L137" s="4">
        <f t="shared" si="36"/>
        <v>240</v>
      </c>
      <c r="M137" s="4">
        <f t="shared" si="37"/>
        <v>60</v>
      </c>
      <c r="N137" s="4">
        <f t="shared" si="38"/>
        <v>80.833333333333329</v>
      </c>
    </row>
    <row r="138" spans="1:15" x14ac:dyDescent="0.3">
      <c r="A138" s="2">
        <v>15</v>
      </c>
      <c r="B138" s="7" t="s">
        <v>156</v>
      </c>
      <c r="C138" s="4">
        <v>74</v>
      </c>
      <c r="D138" s="4">
        <v>66</v>
      </c>
      <c r="E138" s="4">
        <v>66</v>
      </c>
      <c r="F138" s="5"/>
      <c r="G138" s="6">
        <f t="shared" si="33"/>
        <v>206</v>
      </c>
      <c r="H138" s="4">
        <f t="shared" si="34"/>
        <v>68.666666666666671</v>
      </c>
      <c r="I138" s="4">
        <f t="shared" si="35"/>
        <v>17.166666666666668</v>
      </c>
      <c r="J138" s="5"/>
      <c r="K138" s="4">
        <v>65</v>
      </c>
      <c r="L138" s="4">
        <f t="shared" si="36"/>
        <v>195</v>
      </c>
      <c r="M138" s="4">
        <f t="shared" si="37"/>
        <v>48.75</v>
      </c>
      <c r="N138" s="4">
        <f t="shared" si="38"/>
        <v>65.916666666666671</v>
      </c>
    </row>
    <row r="139" spans="1:15" x14ac:dyDescent="0.3">
      <c r="A139" s="2">
        <v>16</v>
      </c>
      <c r="B139" s="7" t="s">
        <v>151</v>
      </c>
      <c r="C139" s="4">
        <v>74</v>
      </c>
      <c r="D139" s="4">
        <v>68</v>
      </c>
      <c r="E139" s="4">
        <v>68</v>
      </c>
      <c r="F139" s="5"/>
      <c r="G139" s="6">
        <f t="shared" si="33"/>
        <v>210</v>
      </c>
      <c r="H139" s="4">
        <f t="shared" si="34"/>
        <v>70</v>
      </c>
      <c r="I139" s="4">
        <f t="shared" si="35"/>
        <v>17.5</v>
      </c>
      <c r="J139" s="5"/>
      <c r="K139" s="4">
        <v>66</v>
      </c>
      <c r="L139" s="4">
        <f t="shared" si="36"/>
        <v>198</v>
      </c>
      <c r="M139" s="4">
        <f t="shared" si="37"/>
        <v>49.5</v>
      </c>
      <c r="N139" s="4">
        <f t="shared" si="38"/>
        <v>67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142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179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7" t="s">
        <v>158</v>
      </c>
      <c r="C147" s="4">
        <v>39</v>
      </c>
      <c r="D147" s="4">
        <v>38</v>
      </c>
      <c r="E147" s="4">
        <v>40</v>
      </c>
      <c r="F147" s="5"/>
      <c r="G147" s="6">
        <f>SUM(C147:E147)</f>
        <v>117</v>
      </c>
      <c r="H147" s="4">
        <f>AVERAGE(C147:E147)</f>
        <v>39</v>
      </c>
      <c r="I147" s="4">
        <f>G147/12</f>
        <v>9.75</v>
      </c>
      <c r="J147" s="5"/>
      <c r="K147" s="4">
        <v>41</v>
      </c>
      <c r="L147" s="4">
        <f>K147*3</f>
        <v>123</v>
      </c>
      <c r="M147" s="4">
        <f>L147/4</f>
        <v>30.75</v>
      </c>
      <c r="N147" s="4">
        <f>M147+I147</f>
        <v>40.5</v>
      </c>
    </row>
    <row r="148" spans="1:14" x14ac:dyDescent="0.3">
      <c r="A148" s="2">
        <v>2</v>
      </c>
      <c r="B148" s="7" t="s">
        <v>154</v>
      </c>
      <c r="C148" s="4">
        <v>55</v>
      </c>
      <c r="D148" s="4">
        <v>41</v>
      </c>
      <c r="E148" s="4">
        <v>38</v>
      </c>
      <c r="F148" s="5"/>
      <c r="G148" s="6">
        <f t="shared" ref="G148:G162" si="39">SUM(C148:E148)</f>
        <v>134</v>
      </c>
      <c r="H148" s="4">
        <f t="shared" ref="H148:H162" si="40">AVERAGE(C148:E148)</f>
        <v>44.666666666666664</v>
      </c>
      <c r="I148" s="4">
        <f t="shared" ref="I148:I162" si="41">G148/12</f>
        <v>11.166666666666666</v>
      </c>
      <c r="J148" s="5"/>
      <c r="K148" s="4">
        <v>47</v>
      </c>
      <c r="L148" s="4">
        <f t="shared" ref="L148:L162" si="42">K148*3</f>
        <v>141</v>
      </c>
      <c r="M148" s="4">
        <f t="shared" ref="M148:M162" si="43">L148/4</f>
        <v>35.25</v>
      </c>
      <c r="N148" s="4">
        <f t="shared" ref="N148:N162" si="44">M148+I148</f>
        <v>46.416666666666664</v>
      </c>
    </row>
    <row r="149" spans="1:14" x14ac:dyDescent="0.3">
      <c r="A149" s="2">
        <v>3</v>
      </c>
      <c r="B149" s="7" t="s">
        <v>147</v>
      </c>
      <c r="C149" s="4">
        <v>47</v>
      </c>
      <c r="D149" s="4">
        <v>44</v>
      </c>
      <c r="E149" s="4">
        <v>44</v>
      </c>
      <c r="F149" s="5"/>
      <c r="G149" s="6">
        <f t="shared" si="39"/>
        <v>135</v>
      </c>
      <c r="H149" s="4">
        <f t="shared" si="40"/>
        <v>45</v>
      </c>
      <c r="I149" s="4">
        <f t="shared" si="41"/>
        <v>11.25</v>
      </c>
      <c r="J149" s="5"/>
      <c r="K149" s="4">
        <v>39</v>
      </c>
      <c r="L149" s="4">
        <f t="shared" si="42"/>
        <v>117</v>
      </c>
      <c r="M149" s="4">
        <f t="shared" si="43"/>
        <v>29.25</v>
      </c>
      <c r="N149" s="4">
        <f t="shared" si="44"/>
        <v>40.5</v>
      </c>
    </row>
    <row r="150" spans="1:14" x14ac:dyDescent="0.3">
      <c r="A150" s="2">
        <v>4</v>
      </c>
      <c r="B150" s="7" t="s">
        <v>152</v>
      </c>
      <c r="C150" s="4">
        <v>62</v>
      </c>
      <c r="D150" s="4">
        <v>55</v>
      </c>
      <c r="E150" s="4">
        <v>55</v>
      </c>
      <c r="F150" s="5"/>
      <c r="G150" s="6">
        <f t="shared" si="39"/>
        <v>172</v>
      </c>
      <c r="H150" s="4">
        <f t="shared" si="40"/>
        <v>57.333333333333336</v>
      </c>
      <c r="I150" s="4">
        <f t="shared" si="41"/>
        <v>14.333333333333334</v>
      </c>
      <c r="J150" s="5"/>
      <c r="K150" s="4">
        <v>52</v>
      </c>
      <c r="L150" s="4">
        <f t="shared" si="42"/>
        <v>156</v>
      </c>
      <c r="M150" s="4">
        <f t="shared" si="43"/>
        <v>39</v>
      </c>
      <c r="N150" s="4">
        <f t="shared" si="44"/>
        <v>53.333333333333336</v>
      </c>
    </row>
    <row r="151" spans="1:14" x14ac:dyDescent="0.3">
      <c r="A151" s="2">
        <v>5</v>
      </c>
      <c r="B151" s="7" t="s">
        <v>144</v>
      </c>
      <c r="C151" s="4">
        <v>58</v>
      </c>
      <c r="D151" s="4">
        <v>58</v>
      </c>
      <c r="E151" s="4">
        <v>65</v>
      </c>
      <c r="F151" s="5"/>
      <c r="G151" s="6">
        <f t="shared" si="39"/>
        <v>181</v>
      </c>
      <c r="H151" s="4">
        <f t="shared" si="40"/>
        <v>60.333333333333336</v>
      </c>
      <c r="I151" s="4">
        <f t="shared" si="41"/>
        <v>15.083333333333334</v>
      </c>
      <c r="J151" s="5"/>
      <c r="K151" s="4">
        <v>50</v>
      </c>
      <c r="L151" s="4">
        <f t="shared" si="42"/>
        <v>150</v>
      </c>
      <c r="M151" s="4">
        <f t="shared" si="43"/>
        <v>37.5</v>
      </c>
      <c r="N151" s="4">
        <f t="shared" si="44"/>
        <v>52.583333333333336</v>
      </c>
    </row>
    <row r="152" spans="1:14" x14ac:dyDescent="0.3">
      <c r="A152" s="2">
        <v>6</v>
      </c>
      <c r="B152" s="7" t="s">
        <v>157</v>
      </c>
      <c r="C152" s="4">
        <v>85</v>
      </c>
      <c r="D152" s="4">
        <v>80</v>
      </c>
      <c r="E152" s="4">
        <v>75</v>
      </c>
      <c r="F152" s="5"/>
      <c r="G152" s="6">
        <f t="shared" si="39"/>
        <v>240</v>
      </c>
      <c r="H152" s="4">
        <f t="shared" si="40"/>
        <v>80</v>
      </c>
      <c r="I152" s="4">
        <f t="shared" si="41"/>
        <v>20</v>
      </c>
      <c r="J152" s="5"/>
      <c r="K152" s="4">
        <v>83</v>
      </c>
      <c r="L152" s="4">
        <f t="shared" si="42"/>
        <v>249</v>
      </c>
      <c r="M152" s="4">
        <f t="shared" si="43"/>
        <v>62.25</v>
      </c>
      <c r="N152" s="4">
        <f t="shared" si="44"/>
        <v>82.25</v>
      </c>
    </row>
    <row r="153" spans="1:14" x14ac:dyDescent="0.3">
      <c r="A153" s="2">
        <v>7</v>
      </c>
      <c r="B153" s="7" t="s">
        <v>155</v>
      </c>
      <c r="C153" s="4">
        <v>69</v>
      </c>
      <c r="D153" s="4">
        <v>65</v>
      </c>
      <c r="E153" s="4">
        <v>69</v>
      </c>
      <c r="F153" s="5"/>
      <c r="G153" s="6">
        <f t="shared" si="39"/>
        <v>203</v>
      </c>
      <c r="H153" s="4">
        <f t="shared" si="40"/>
        <v>67.666666666666671</v>
      </c>
      <c r="I153" s="4">
        <f t="shared" si="41"/>
        <v>16.916666666666668</v>
      </c>
      <c r="J153" s="5"/>
      <c r="K153" s="4">
        <v>62</v>
      </c>
      <c r="L153" s="4">
        <f t="shared" si="42"/>
        <v>186</v>
      </c>
      <c r="M153" s="4">
        <f t="shared" si="43"/>
        <v>46.5</v>
      </c>
      <c r="N153" s="4">
        <f t="shared" si="44"/>
        <v>63.416666666666671</v>
      </c>
    </row>
    <row r="154" spans="1:14" x14ac:dyDescent="0.3">
      <c r="A154" s="2">
        <v>8</v>
      </c>
      <c r="B154" s="7" t="s">
        <v>149</v>
      </c>
      <c r="C154" s="4">
        <v>77</v>
      </c>
      <c r="D154" s="4">
        <v>71</v>
      </c>
      <c r="E154" s="4">
        <v>72</v>
      </c>
      <c r="F154" s="5"/>
      <c r="G154" s="6">
        <f t="shared" si="39"/>
        <v>220</v>
      </c>
      <c r="H154" s="4">
        <f t="shared" si="40"/>
        <v>73.333333333333329</v>
      </c>
      <c r="I154" s="4">
        <f t="shared" si="41"/>
        <v>18.333333333333332</v>
      </c>
      <c r="J154" s="5"/>
      <c r="K154" s="4">
        <v>70</v>
      </c>
      <c r="L154" s="4">
        <f t="shared" si="42"/>
        <v>210</v>
      </c>
      <c r="M154" s="4">
        <f t="shared" si="43"/>
        <v>52.5</v>
      </c>
      <c r="N154" s="4">
        <f t="shared" si="44"/>
        <v>70.833333333333329</v>
      </c>
    </row>
    <row r="155" spans="1:14" x14ac:dyDescent="0.3">
      <c r="A155" s="2">
        <v>9</v>
      </c>
      <c r="B155" s="7" t="s">
        <v>143</v>
      </c>
      <c r="C155" s="4">
        <v>89</v>
      </c>
      <c r="D155" s="4">
        <v>84</v>
      </c>
      <c r="E155" s="4">
        <v>83</v>
      </c>
      <c r="F155" s="5"/>
      <c r="G155" s="6">
        <f t="shared" si="39"/>
        <v>256</v>
      </c>
      <c r="H155" s="4">
        <f t="shared" si="40"/>
        <v>85.333333333333329</v>
      </c>
      <c r="I155" s="4">
        <f t="shared" si="41"/>
        <v>21.333333333333332</v>
      </c>
      <c r="J155" s="5"/>
      <c r="K155" s="4">
        <v>84</v>
      </c>
      <c r="L155" s="4">
        <f t="shared" si="42"/>
        <v>252</v>
      </c>
      <c r="M155" s="4">
        <f t="shared" si="43"/>
        <v>63</v>
      </c>
      <c r="N155" s="4">
        <f t="shared" si="44"/>
        <v>84.333333333333329</v>
      </c>
    </row>
    <row r="156" spans="1:14" x14ac:dyDescent="0.3">
      <c r="A156" s="2">
        <v>10</v>
      </c>
      <c r="B156" s="7" t="s">
        <v>146</v>
      </c>
      <c r="C156" s="4">
        <v>87</v>
      </c>
      <c r="D156" s="4">
        <v>81</v>
      </c>
      <c r="E156" s="4">
        <v>80</v>
      </c>
      <c r="F156" s="5"/>
      <c r="G156" s="6">
        <f t="shared" si="39"/>
        <v>248</v>
      </c>
      <c r="H156" s="4">
        <f t="shared" si="40"/>
        <v>82.666666666666671</v>
      </c>
      <c r="I156" s="4">
        <f t="shared" si="41"/>
        <v>20.666666666666668</v>
      </c>
      <c r="J156" s="5"/>
      <c r="K156" s="4">
        <v>81</v>
      </c>
      <c r="L156" s="4">
        <f t="shared" si="42"/>
        <v>243</v>
      </c>
      <c r="M156" s="4">
        <f t="shared" si="43"/>
        <v>60.75</v>
      </c>
      <c r="N156" s="4">
        <f t="shared" si="44"/>
        <v>81.416666666666671</v>
      </c>
    </row>
    <row r="157" spans="1:14" x14ac:dyDescent="0.3">
      <c r="A157" s="2">
        <v>11</v>
      </c>
      <c r="B157" s="7" t="s">
        <v>145</v>
      </c>
      <c r="C157" s="4">
        <v>69</v>
      </c>
      <c r="D157" s="4">
        <v>55</v>
      </c>
      <c r="E157" s="4">
        <v>65</v>
      </c>
      <c r="F157" s="5"/>
      <c r="G157" s="6">
        <f t="shared" si="39"/>
        <v>189</v>
      </c>
      <c r="H157" s="4">
        <f t="shared" si="40"/>
        <v>63</v>
      </c>
      <c r="I157" s="4">
        <f t="shared" si="41"/>
        <v>15.75</v>
      </c>
      <c r="J157" s="5"/>
      <c r="K157" s="4">
        <v>62</v>
      </c>
      <c r="L157" s="4">
        <f t="shared" si="42"/>
        <v>186</v>
      </c>
      <c r="M157" s="4">
        <f t="shared" si="43"/>
        <v>46.5</v>
      </c>
      <c r="N157" s="4">
        <f t="shared" si="44"/>
        <v>62.25</v>
      </c>
    </row>
    <row r="158" spans="1:14" x14ac:dyDescent="0.3">
      <c r="A158" s="2">
        <v>12</v>
      </c>
      <c r="B158" s="7" t="s">
        <v>148</v>
      </c>
      <c r="C158" s="4">
        <v>58</v>
      </c>
      <c r="D158" s="4">
        <v>54</v>
      </c>
      <c r="E158" s="4">
        <v>54</v>
      </c>
      <c r="F158" s="5"/>
      <c r="G158" s="6">
        <f t="shared" si="39"/>
        <v>166</v>
      </c>
      <c r="H158" s="4">
        <f t="shared" si="40"/>
        <v>55.333333333333336</v>
      </c>
      <c r="I158" s="4">
        <f t="shared" si="41"/>
        <v>13.833333333333334</v>
      </c>
      <c r="J158" s="5"/>
      <c r="K158" s="4">
        <v>59</v>
      </c>
      <c r="L158" s="4">
        <f t="shared" si="42"/>
        <v>177</v>
      </c>
      <c r="M158" s="4">
        <f t="shared" si="43"/>
        <v>44.25</v>
      </c>
      <c r="N158" s="4">
        <f t="shared" si="44"/>
        <v>58.083333333333336</v>
      </c>
    </row>
    <row r="159" spans="1:14" x14ac:dyDescent="0.3">
      <c r="A159" s="2">
        <v>13</v>
      </c>
      <c r="B159" s="7" t="s">
        <v>150</v>
      </c>
      <c r="C159" s="4">
        <v>77</v>
      </c>
      <c r="D159" s="4">
        <v>74</v>
      </c>
      <c r="E159" s="4">
        <v>75</v>
      </c>
      <c r="F159" s="5"/>
      <c r="G159" s="6">
        <f t="shared" si="39"/>
        <v>226</v>
      </c>
      <c r="H159" s="4">
        <f t="shared" si="40"/>
        <v>75.333333333333329</v>
      </c>
      <c r="I159" s="4">
        <f t="shared" si="41"/>
        <v>18.833333333333332</v>
      </c>
      <c r="J159" s="5"/>
      <c r="K159" s="4">
        <v>71</v>
      </c>
      <c r="L159" s="4">
        <f t="shared" si="42"/>
        <v>213</v>
      </c>
      <c r="M159" s="4">
        <f t="shared" si="43"/>
        <v>53.25</v>
      </c>
      <c r="N159" s="4">
        <f t="shared" si="44"/>
        <v>72.083333333333329</v>
      </c>
    </row>
    <row r="160" spans="1:14" x14ac:dyDescent="0.3">
      <c r="A160" s="2">
        <v>14</v>
      </c>
      <c r="B160" s="7" t="s">
        <v>153</v>
      </c>
      <c r="C160" s="4">
        <v>81</v>
      </c>
      <c r="D160" s="4">
        <v>79</v>
      </c>
      <c r="E160" s="4">
        <v>82</v>
      </c>
      <c r="F160" s="5"/>
      <c r="G160" s="6">
        <f t="shared" si="39"/>
        <v>242</v>
      </c>
      <c r="H160" s="4">
        <f t="shared" si="40"/>
        <v>80.666666666666671</v>
      </c>
      <c r="I160" s="4">
        <f t="shared" si="41"/>
        <v>20.166666666666668</v>
      </c>
      <c r="J160" s="5"/>
      <c r="K160" s="4">
        <v>82</v>
      </c>
      <c r="L160" s="4">
        <f t="shared" si="42"/>
        <v>246</v>
      </c>
      <c r="M160" s="4">
        <f t="shared" si="43"/>
        <v>61.5</v>
      </c>
      <c r="N160" s="4">
        <f t="shared" si="44"/>
        <v>81.666666666666671</v>
      </c>
    </row>
    <row r="161" spans="1:15" x14ac:dyDescent="0.3">
      <c r="A161" s="2">
        <v>15</v>
      </c>
      <c r="B161" s="7" t="s">
        <v>156</v>
      </c>
      <c r="C161" s="4">
        <v>70</v>
      </c>
      <c r="D161" s="4">
        <v>58</v>
      </c>
      <c r="E161" s="4">
        <v>69</v>
      </c>
      <c r="F161" s="5"/>
      <c r="G161" s="6">
        <f t="shared" si="39"/>
        <v>197</v>
      </c>
      <c r="H161" s="4">
        <f t="shared" si="40"/>
        <v>65.666666666666671</v>
      </c>
      <c r="I161" s="4">
        <f t="shared" si="41"/>
        <v>16.416666666666668</v>
      </c>
      <c r="J161" s="5"/>
      <c r="K161" s="4">
        <v>65</v>
      </c>
      <c r="L161" s="4">
        <f t="shared" si="42"/>
        <v>195</v>
      </c>
      <c r="M161" s="4">
        <f t="shared" si="43"/>
        <v>48.75</v>
      </c>
      <c r="N161" s="4">
        <f t="shared" si="44"/>
        <v>65.166666666666671</v>
      </c>
    </row>
    <row r="162" spans="1:15" x14ac:dyDescent="0.3">
      <c r="A162" s="2">
        <v>16</v>
      </c>
      <c r="B162" s="7" t="s">
        <v>151</v>
      </c>
      <c r="C162" s="4">
        <v>66</v>
      </c>
      <c r="D162" s="4">
        <v>55</v>
      </c>
      <c r="E162" s="4">
        <v>75</v>
      </c>
      <c r="F162" s="5"/>
      <c r="G162" s="6">
        <f t="shared" si="39"/>
        <v>196</v>
      </c>
      <c r="H162" s="4">
        <f t="shared" si="40"/>
        <v>65.333333333333329</v>
      </c>
      <c r="I162" s="4">
        <f t="shared" si="41"/>
        <v>16.333333333333332</v>
      </c>
      <c r="J162" s="5"/>
      <c r="K162" s="4">
        <v>62</v>
      </c>
      <c r="L162" s="4">
        <f t="shared" si="42"/>
        <v>186</v>
      </c>
      <c r="M162" s="4">
        <f t="shared" si="43"/>
        <v>46.5</v>
      </c>
      <c r="N162" s="4">
        <f t="shared" si="44"/>
        <v>62.833333333333329</v>
      </c>
    </row>
    <row r="166" spans="1:15" x14ac:dyDescent="0.3">
      <c r="A166" s="63" t="s">
        <v>0</v>
      </c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1:15" x14ac:dyDescent="0.3">
      <c r="A167" s="63" t="s">
        <v>1</v>
      </c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1:15" x14ac:dyDescent="0.3">
      <c r="A168" s="63" t="s">
        <v>142</v>
      </c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1:15" x14ac:dyDescent="0.3">
      <c r="B169" s="64" t="s">
        <v>47</v>
      </c>
      <c r="C169" s="64"/>
      <c r="D169" s="64"/>
    </row>
    <row r="170" spans="1:15" x14ac:dyDescent="0.3">
      <c r="C170" s="1" t="s">
        <v>4</v>
      </c>
      <c r="D170" s="1" t="s">
        <v>5</v>
      </c>
      <c r="E170" s="1" t="s">
        <v>6</v>
      </c>
      <c r="F170" s="1"/>
      <c r="G170" s="1" t="s">
        <v>7</v>
      </c>
      <c r="H170" s="1" t="s">
        <v>8</v>
      </c>
      <c r="I170" s="3">
        <v>0.25</v>
      </c>
      <c r="J170" s="1"/>
      <c r="K170" s="1" t="s">
        <v>9</v>
      </c>
      <c r="L170" s="1"/>
      <c r="M170" s="3">
        <v>0.75</v>
      </c>
      <c r="N170" s="1" t="s">
        <v>10</v>
      </c>
    </row>
    <row r="171" spans="1:15" x14ac:dyDescent="0.3">
      <c r="A171" s="2">
        <v>1</v>
      </c>
      <c r="B171" s="7" t="s">
        <v>158</v>
      </c>
      <c r="C171" s="4">
        <v>53</v>
      </c>
      <c r="D171" s="4">
        <v>58</v>
      </c>
      <c r="E171" s="4">
        <v>58</v>
      </c>
      <c r="F171" s="5"/>
      <c r="G171" s="6">
        <f>SUM(C171:E171)</f>
        <v>169</v>
      </c>
      <c r="H171" s="4">
        <f>AVERAGE(C171:E171)</f>
        <v>56.333333333333336</v>
      </c>
      <c r="I171" s="4">
        <f>G171/12</f>
        <v>14.083333333333334</v>
      </c>
      <c r="J171" s="5"/>
      <c r="K171" s="4">
        <v>46</v>
      </c>
      <c r="L171" s="4">
        <f>K171*3</f>
        <v>138</v>
      </c>
      <c r="M171" s="4">
        <f>L171/4</f>
        <v>34.5</v>
      </c>
      <c r="N171" s="4">
        <f>M171+I171</f>
        <v>48.583333333333336</v>
      </c>
    </row>
    <row r="172" spans="1:15" x14ac:dyDescent="0.3">
      <c r="A172" s="2">
        <v>2</v>
      </c>
      <c r="B172" s="7" t="s">
        <v>154</v>
      </c>
      <c r="C172" s="4">
        <v>39</v>
      </c>
      <c r="D172" s="4">
        <v>39</v>
      </c>
      <c r="E172" s="4">
        <v>38</v>
      </c>
      <c r="F172" s="5"/>
      <c r="G172" s="6">
        <f t="shared" ref="G172:G186" si="45">SUM(C172:E172)</f>
        <v>116</v>
      </c>
      <c r="H172" s="4">
        <f t="shared" ref="H172:H186" si="46">AVERAGE(C172:E172)</f>
        <v>38.666666666666664</v>
      </c>
      <c r="I172" s="4">
        <f t="shared" ref="I172:I186" si="47">G172/12</f>
        <v>9.6666666666666661</v>
      </c>
      <c r="J172" s="5"/>
      <c r="K172" s="4">
        <v>37</v>
      </c>
      <c r="L172" s="4">
        <f t="shared" ref="L172:L186" si="48">K172*3</f>
        <v>111</v>
      </c>
      <c r="M172" s="4">
        <f t="shared" ref="M172:M186" si="49">L172/4</f>
        <v>27.75</v>
      </c>
      <c r="N172" s="4">
        <f t="shared" ref="N172:N186" si="50">M172+I172</f>
        <v>37.416666666666664</v>
      </c>
    </row>
    <row r="173" spans="1:15" x14ac:dyDescent="0.3">
      <c r="A173" s="2">
        <v>3</v>
      </c>
      <c r="B173" s="7" t="s">
        <v>147</v>
      </c>
      <c r="C173" s="4">
        <v>55</v>
      </c>
      <c r="D173" s="4">
        <v>41</v>
      </c>
      <c r="E173" s="4">
        <v>45</v>
      </c>
      <c r="F173" s="5"/>
      <c r="G173" s="6">
        <f t="shared" si="45"/>
        <v>141</v>
      </c>
      <c r="H173" s="4">
        <f t="shared" si="46"/>
        <v>47</v>
      </c>
      <c r="I173" s="4">
        <f t="shared" si="47"/>
        <v>11.75</v>
      </c>
      <c r="J173" s="5"/>
      <c r="K173" s="4">
        <v>45</v>
      </c>
      <c r="L173" s="4">
        <f t="shared" si="48"/>
        <v>135</v>
      </c>
      <c r="M173" s="4">
        <f t="shared" si="49"/>
        <v>33.75</v>
      </c>
      <c r="N173" s="4">
        <f t="shared" si="50"/>
        <v>45.5</v>
      </c>
    </row>
    <row r="174" spans="1:15" x14ac:dyDescent="0.3">
      <c r="A174" s="2">
        <v>4</v>
      </c>
      <c r="B174" s="7" t="s">
        <v>152</v>
      </c>
      <c r="C174" s="4">
        <v>47</v>
      </c>
      <c r="D174" s="4">
        <v>28</v>
      </c>
      <c r="E174" s="4">
        <v>52</v>
      </c>
      <c r="F174" s="5"/>
      <c r="G174" s="6">
        <f t="shared" si="45"/>
        <v>127</v>
      </c>
      <c r="H174" s="4">
        <f t="shared" si="46"/>
        <v>42.333333333333336</v>
      </c>
      <c r="I174" s="4">
        <f t="shared" si="47"/>
        <v>10.583333333333334</v>
      </c>
      <c r="J174" s="5"/>
      <c r="K174" s="4">
        <v>47</v>
      </c>
      <c r="L174" s="4">
        <f t="shared" si="48"/>
        <v>141</v>
      </c>
      <c r="M174" s="4">
        <f t="shared" si="49"/>
        <v>35.25</v>
      </c>
      <c r="N174" s="4">
        <f t="shared" si="50"/>
        <v>45.833333333333336</v>
      </c>
    </row>
    <row r="175" spans="1:15" x14ac:dyDescent="0.3">
      <c r="A175" s="2">
        <v>5</v>
      </c>
      <c r="B175" s="7" t="s">
        <v>144</v>
      </c>
      <c r="C175" s="4">
        <v>52</v>
      </c>
      <c r="D175" s="4">
        <v>45</v>
      </c>
      <c r="E175" s="4">
        <v>38</v>
      </c>
      <c r="F175" s="5"/>
      <c r="G175" s="6">
        <f t="shared" si="45"/>
        <v>135</v>
      </c>
      <c r="H175" s="4">
        <f t="shared" si="46"/>
        <v>45</v>
      </c>
      <c r="I175" s="4">
        <f t="shared" si="47"/>
        <v>11.25</v>
      </c>
      <c r="J175" s="5"/>
      <c r="K175" s="4">
        <v>53</v>
      </c>
      <c r="L175" s="4">
        <f t="shared" si="48"/>
        <v>159</v>
      </c>
      <c r="M175" s="4">
        <f t="shared" si="49"/>
        <v>39.75</v>
      </c>
      <c r="N175" s="4">
        <f t="shared" si="50"/>
        <v>51</v>
      </c>
    </row>
    <row r="176" spans="1:15" x14ac:dyDescent="0.3">
      <c r="A176" s="2">
        <v>6</v>
      </c>
      <c r="B176" s="7" t="s">
        <v>157</v>
      </c>
      <c r="C176" s="4">
        <v>77</v>
      </c>
      <c r="D176" s="4">
        <v>79</v>
      </c>
      <c r="E176" s="4">
        <v>75</v>
      </c>
      <c r="F176" s="5"/>
      <c r="G176" s="6">
        <f t="shared" si="45"/>
        <v>231</v>
      </c>
      <c r="H176" s="4">
        <f t="shared" si="46"/>
        <v>77</v>
      </c>
      <c r="I176" s="4">
        <f t="shared" si="47"/>
        <v>19.25</v>
      </c>
      <c r="J176" s="5"/>
      <c r="K176" s="4">
        <v>81</v>
      </c>
      <c r="L176" s="4">
        <f t="shared" si="48"/>
        <v>243</v>
      </c>
      <c r="M176" s="4">
        <f t="shared" si="49"/>
        <v>60.75</v>
      </c>
      <c r="N176" s="4">
        <f t="shared" si="50"/>
        <v>80</v>
      </c>
    </row>
    <row r="177" spans="1:14" x14ac:dyDescent="0.3">
      <c r="A177" s="2">
        <v>7</v>
      </c>
      <c r="B177" s="7" t="s">
        <v>155</v>
      </c>
      <c r="C177" s="4">
        <v>62</v>
      </c>
      <c r="D177" s="4">
        <v>52</v>
      </c>
      <c r="E177" s="4">
        <v>62</v>
      </c>
      <c r="F177" s="5"/>
      <c r="G177" s="6">
        <f t="shared" si="45"/>
        <v>176</v>
      </c>
      <c r="H177" s="4">
        <f t="shared" si="46"/>
        <v>58.666666666666664</v>
      </c>
      <c r="I177" s="4">
        <f t="shared" si="47"/>
        <v>14.666666666666666</v>
      </c>
      <c r="J177" s="5"/>
      <c r="K177" s="4">
        <v>66</v>
      </c>
      <c r="L177" s="4">
        <f t="shared" si="48"/>
        <v>198</v>
      </c>
      <c r="M177" s="4">
        <f t="shared" si="49"/>
        <v>49.5</v>
      </c>
      <c r="N177" s="4">
        <f t="shared" si="50"/>
        <v>64.166666666666671</v>
      </c>
    </row>
    <row r="178" spans="1:14" x14ac:dyDescent="0.3">
      <c r="A178" s="2">
        <v>8</v>
      </c>
      <c r="B178" s="7" t="s">
        <v>149</v>
      </c>
      <c r="C178" s="4">
        <v>59</v>
      </c>
      <c r="D178" s="4">
        <v>62</v>
      </c>
      <c r="E178" s="4">
        <v>58</v>
      </c>
      <c r="F178" s="5"/>
      <c r="G178" s="6">
        <f t="shared" si="45"/>
        <v>179</v>
      </c>
      <c r="H178" s="4">
        <f t="shared" si="46"/>
        <v>59.666666666666664</v>
      </c>
      <c r="I178" s="4">
        <f t="shared" si="47"/>
        <v>14.916666666666666</v>
      </c>
      <c r="J178" s="5"/>
      <c r="K178" s="4">
        <v>62</v>
      </c>
      <c r="L178" s="4">
        <f t="shared" si="48"/>
        <v>186</v>
      </c>
      <c r="M178" s="4">
        <f t="shared" si="49"/>
        <v>46.5</v>
      </c>
      <c r="N178" s="4">
        <f t="shared" si="50"/>
        <v>61.416666666666664</v>
      </c>
    </row>
    <row r="179" spans="1:14" x14ac:dyDescent="0.3">
      <c r="A179" s="2">
        <v>9</v>
      </c>
      <c r="B179" s="7" t="s">
        <v>143</v>
      </c>
      <c r="C179" s="4">
        <v>81</v>
      </c>
      <c r="D179" s="4">
        <v>77</v>
      </c>
      <c r="E179" s="4">
        <v>72</v>
      </c>
      <c r="F179" s="5"/>
      <c r="G179" s="6">
        <f t="shared" si="45"/>
        <v>230</v>
      </c>
      <c r="H179" s="4">
        <f t="shared" si="46"/>
        <v>76.666666666666671</v>
      </c>
      <c r="I179" s="4">
        <f t="shared" si="47"/>
        <v>19.166666666666668</v>
      </c>
      <c r="J179" s="5"/>
      <c r="K179" s="4">
        <v>74</v>
      </c>
      <c r="L179" s="4">
        <f t="shared" si="48"/>
        <v>222</v>
      </c>
      <c r="M179" s="4">
        <f t="shared" si="49"/>
        <v>55.5</v>
      </c>
      <c r="N179" s="4">
        <f t="shared" si="50"/>
        <v>74.666666666666671</v>
      </c>
    </row>
    <row r="180" spans="1:14" x14ac:dyDescent="0.3">
      <c r="A180" s="2">
        <v>10</v>
      </c>
      <c r="B180" s="7" t="s">
        <v>146</v>
      </c>
      <c r="C180" s="4">
        <v>75</v>
      </c>
      <c r="D180" s="4">
        <v>58</v>
      </c>
      <c r="E180" s="4">
        <v>65</v>
      </c>
      <c r="F180" s="5"/>
      <c r="G180" s="6">
        <f t="shared" si="45"/>
        <v>198</v>
      </c>
      <c r="H180" s="4">
        <f t="shared" si="46"/>
        <v>66</v>
      </c>
      <c r="I180" s="4">
        <f t="shared" si="47"/>
        <v>16.5</v>
      </c>
      <c r="J180" s="5"/>
      <c r="K180" s="4">
        <v>68</v>
      </c>
      <c r="L180" s="4">
        <f t="shared" si="48"/>
        <v>204</v>
      </c>
      <c r="M180" s="4">
        <f t="shared" si="49"/>
        <v>51</v>
      </c>
      <c r="N180" s="4">
        <f t="shared" si="50"/>
        <v>67.5</v>
      </c>
    </row>
    <row r="181" spans="1:14" x14ac:dyDescent="0.3">
      <c r="A181" s="2">
        <v>11</v>
      </c>
      <c r="B181" s="7" t="s">
        <v>145</v>
      </c>
      <c r="C181" s="4">
        <v>56</v>
      </c>
      <c r="D181" s="4">
        <v>62</v>
      </c>
      <c r="E181" s="4">
        <v>69</v>
      </c>
      <c r="F181" s="5"/>
      <c r="G181" s="6">
        <f t="shared" si="45"/>
        <v>187</v>
      </c>
      <c r="H181" s="4">
        <f t="shared" si="46"/>
        <v>62.333333333333336</v>
      </c>
      <c r="I181" s="4">
        <f t="shared" si="47"/>
        <v>15.583333333333334</v>
      </c>
      <c r="J181" s="5"/>
      <c r="K181" s="4">
        <v>60</v>
      </c>
      <c r="L181" s="4">
        <f t="shared" si="48"/>
        <v>180</v>
      </c>
      <c r="M181" s="4">
        <f t="shared" si="49"/>
        <v>45</v>
      </c>
      <c r="N181" s="4">
        <f t="shared" si="50"/>
        <v>60.583333333333336</v>
      </c>
    </row>
    <row r="182" spans="1:14" x14ac:dyDescent="0.3">
      <c r="A182" s="2">
        <v>12</v>
      </c>
      <c r="B182" s="7" t="s">
        <v>148</v>
      </c>
      <c r="C182" s="4">
        <v>62</v>
      </c>
      <c r="D182" s="4">
        <v>47</v>
      </c>
      <c r="E182" s="4">
        <v>45</v>
      </c>
      <c r="F182" s="5"/>
      <c r="G182" s="6">
        <f t="shared" si="45"/>
        <v>154</v>
      </c>
      <c r="H182" s="4">
        <f t="shared" si="46"/>
        <v>51.333333333333336</v>
      </c>
      <c r="I182" s="4">
        <f t="shared" si="47"/>
        <v>12.833333333333334</v>
      </c>
      <c r="J182" s="5"/>
      <c r="K182" s="4">
        <v>54</v>
      </c>
      <c r="L182" s="4">
        <f t="shared" si="48"/>
        <v>162</v>
      </c>
      <c r="M182" s="4">
        <f t="shared" si="49"/>
        <v>40.5</v>
      </c>
      <c r="N182" s="4">
        <f t="shared" si="50"/>
        <v>53.333333333333336</v>
      </c>
    </row>
    <row r="183" spans="1:14" x14ac:dyDescent="0.3">
      <c r="A183" s="2">
        <v>13</v>
      </c>
      <c r="B183" s="7" t="s">
        <v>150</v>
      </c>
      <c r="C183" s="4">
        <v>71</v>
      </c>
      <c r="D183" s="4">
        <v>58</v>
      </c>
      <c r="E183" s="4">
        <v>58</v>
      </c>
      <c r="F183" s="5"/>
      <c r="G183" s="6">
        <f t="shared" si="45"/>
        <v>187</v>
      </c>
      <c r="H183" s="4">
        <f t="shared" si="46"/>
        <v>62.333333333333336</v>
      </c>
      <c r="I183" s="4">
        <f t="shared" si="47"/>
        <v>15.583333333333334</v>
      </c>
      <c r="J183" s="5"/>
      <c r="K183" s="4">
        <v>63</v>
      </c>
      <c r="L183" s="4">
        <f t="shared" si="48"/>
        <v>189</v>
      </c>
      <c r="M183" s="4">
        <f t="shared" si="49"/>
        <v>47.25</v>
      </c>
      <c r="N183" s="4">
        <f t="shared" si="50"/>
        <v>62.833333333333336</v>
      </c>
    </row>
    <row r="184" spans="1:14" x14ac:dyDescent="0.3">
      <c r="A184" s="2">
        <v>14</v>
      </c>
      <c r="B184" s="7" t="s">
        <v>153</v>
      </c>
      <c r="C184" s="4">
        <v>73</v>
      </c>
      <c r="D184" s="4">
        <v>62</v>
      </c>
      <c r="E184" s="4">
        <v>68</v>
      </c>
      <c r="F184" s="5"/>
      <c r="G184" s="6">
        <f t="shared" si="45"/>
        <v>203</v>
      </c>
      <c r="H184" s="4">
        <f t="shared" si="46"/>
        <v>67.666666666666671</v>
      </c>
      <c r="I184" s="4">
        <f t="shared" si="47"/>
        <v>16.916666666666668</v>
      </c>
      <c r="J184" s="5"/>
      <c r="K184" s="4">
        <v>72</v>
      </c>
      <c r="L184" s="4">
        <f t="shared" si="48"/>
        <v>216</v>
      </c>
      <c r="M184" s="4">
        <f t="shared" si="49"/>
        <v>54</v>
      </c>
      <c r="N184" s="4">
        <f t="shared" si="50"/>
        <v>70.916666666666671</v>
      </c>
    </row>
    <row r="185" spans="1:14" x14ac:dyDescent="0.3">
      <c r="A185" s="2">
        <v>15</v>
      </c>
      <c r="B185" s="7" t="s">
        <v>156</v>
      </c>
      <c r="C185" s="4">
        <v>55</v>
      </c>
      <c r="D185" s="4">
        <v>54</v>
      </c>
      <c r="E185" s="4">
        <v>55</v>
      </c>
      <c r="F185" s="5"/>
      <c r="G185" s="6">
        <f t="shared" si="45"/>
        <v>164</v>
      </c>
      <c r="H185" s="4">
        <f t="shared" si="46"/>
        <v>54.666666666666664</v>
      </c>
      <c r="I185" s="4">
        <f t="shared" si="47"/>
        <v>13.666666666666666</v>
      </c>
      <c r="J185" s="5"/>
      <c r="K185" s="4">
        <v>55</v>
      </c>
      <c r="L185" s="4">
        <f t="shared" si="48"/>
        <v>165</v>
      </c>
      <c r="M185" s="4">
        <f t="shared" si="49"/>
        <v>41.25</v>
      </c>
      <c r="N185" s="4">
        <f t="shared" si="50"/>
        <v>54.916666666666664</v>
      </c>
    </row>
    <row r="186" spans="1:14" x14ac:dyDescent="0.3">
      <c r="A186" s="2">
        <v>16</v>
      </c>
      <c r="B186" s="7" t="s">
        <v>151</v>
      </c>
      <c r="C186" s="4">
        <v>58</v>
      </c>
      <c r="D186" s="4">
        <v>88</v>
      </c>
      <c r="E186" s="4">
        <v>85</v>
      </c>
      <c r="F186" s="5"/>
      <c r="G186" s="6">
        <f t="shared" si="45"/>
        <v>231</v>
      </c>
      <c r="H186" s="4">
        <f t="shared" si="46"/>
        <v>77</v>
      </c>
      <c r="I186" s="4">
        <f t="shared" si="47"/>
        <v>19.25</v>
      </c>
      <c r="J186" s="5"/>
      <c r="K186" s="4">
        <v>80</v>
      </c>
      <c r="L186" s="4">
        <f t="shared" si="48"/>
        <v>240</v>
      </c>
      <c r="M186" s="4">
        <f t="shared" si="49"/>
        <v>60</v>
      </c>
      <c r="N186" s="4">
        <f t="shared" si="50"/>
        <v>79.25</v>
      </c>
    </row>
  </sheetData>
  <sortState ref="B6:B21">
    <sortCondition ref="B6"/>
  </sortState>
  <mergeCells count="32">
    <mergeCell ref="A168:O168"/>
    <mergeCell ref="B169:D169"/>
    <mergeCell ref="A142:O142"/>
    <mergeCell ref="A143:O143"/>
    <mergeCell ref="A144:O144"/>
    <mergeCell ref="B145:D145"/>
    <mergeCell ref="A166:O166"/>
    <mergeCell ref="A167:O167"/>
    <mergeCell ref="A119:O119"/>
    <mergeCell ref="A120:O120"/>
    <mergeCell ref="A121:O121"/>
    <mergeCell ref="B122:D122"/>
    <mergeCell ref="A95:O95"/>
    <mergeCell ref="A96:O96"/>
    <mergeCell ref="A97:O97"/>
    <mergeCell ref="B98:D98"/>
    <mergeCell ref="A72:O72"/>
    <mergeCell ref="A73:O73"/>
    <mergeCell ref="A74:O74"/>
    <mergeCell ref="B75:D75"/>
    <mergeCell ref="A48:O48"/>
    <mergeCell ref="A49:O49"/>
    <mergeCell ref="A50:O50"/>
    <mergeCell ref="B51:D51"/>
    <mergeCell ref="A25:O25"/>
    <mergeCell ref="A26:O26"/>
    <mergeCell ref="A27:O27"/>
    <mergeCell ref="B28:D28"/>
    <mergeCell ref="A1:O1"/>
    <mergeCell ref="A2:O2"/>
    <mergeCell ref="A3:O3"/>
    <mergeCell ref="B4:D4"/>
  </mergeCells>
  <printOptions gridLines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137"/>
  <sheetViews>
    <sheetView topLeftCell="A120" workbookViewId="0">
      <selection activeCell="K130" sqref="K130:K137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178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1" t="s">
        <v>11</v>
      </c>
      <c r="C6" s="4">
        <v>89</v>
      </c>
      <c r="D6" s="4">
        <v>86</v>
      </c>
      <c r="E6" s="4">
        <v>87</v>
      </c>
      <c r="F6" s="5"/>
      <c r="G6" s="6">
        <f>SUM(C6:E6)</f>
        <v>262</v>
      </c>
      <c r="H6" s="4">
        <f>AVERAGE(C6:E6)</f>
        <v>87.333333333333329</v>
      </c>
      <c r="I6" s="4">
        <f>G6/12</f>
        <v>21.833333333333332</v>
      </c>
      <c r="J6" s="5"/>
      <c r="K6" s="4">
        <v>86</v>
      </c>
      <c r="L6" s="4">
        <f>K6*3</f>
        <v>258</v>
      </c>
      <c r="M6" s="4">
        <f>L6/4</f>
        <v>64.5</v>
      </c>
      <c r="N6" s="4">
        <f t="shared" ref="N6:N13" si="0">M6+I6</f>
        <v>86.333333333333329</v>
      </c>
    </row>
    <row r="7" spans="1:15" x14ac:dyDescent="0.3">
      <c r="A7" s="2">
        <v>2</v>
      </c>
      <c r="B7" s="8" t="s">
        <v>18</v>
      </c>
      <c r="C7" s="4">
        <v>82</v>
      </c>
      <c r="D7" s="4">
        <v>77</v>
      </c>
      <c r="E7" s="4">
        <v>80</v>
      </c>
      <c r="F7" s="5"/>
      <c r="G7" s="6">
        <f t="shared" ref="G7:G13" si="1">SUM(C7:E7)</f>
        <v>239</v>
      </c>
      <c r="H7" s="4">
        <f t="shared" ref="H7:H13" si="2">AVERAGE(C7:E7)</f>
        <v>79.666666666666671</v>
      </c>
      <c r="I7" s="4">
        <f t="shared" ref="I7:I13" si="3">G7/12</f>
        <v>19.916666666666668</v>
      </c>
      <c r="J7" s="5"/>
      <c r="K7" s="4">
        <v>81</v>
      </c>
      <c r="L7" s="4">
        <f t="shared" ref="L7:L13" si="4">K7*3</f>
        <v>243</v>
      </c>
      <c r="M7" s="4">
        <f t="shared" ref="M7:M13" si="5">L7/4</f>
        <v>60.75</v>
      </c>
      <c r="N7" s="4">
        <f t="shared" si="0"/>
        <v>80.666666666666671</v>
      </c>
    </row>
    <row r="8" spans="1:15" x14ac:dyDescent="0.3">
      <c r="A8" s="2">
        <v>3</v>
      </c>
      <c r="B8" s="8" t="s">
        <v>15</v>
      </c>
      <c r="C8" s="4">
        <v>85</v>
      </c>
      <c r="D8" s="4">
        <v>83</v>
      </c>
      <c r="E8" s="4">
        <v>82</v>
      </c>
      <c r="F8" s="5"/>
      <c r="G8" s="6">
        <f t="shared" si="1"/>
        <v>250</v>
      </c>
      <c r="H8" s="4">
        <f t="shared" si="2"/>
        <v>83.333333333333329</v>
      </c>
      <c r="I8" s="4">
        <f t="shared" si="3"/>
        <v>20.833333333333332</v>
      </c>
      <c r="J8" s="5"/>
      <c r="K8" s="4">
        <v>82</v>
      </c>
      <c r="L8" s="4">
        <f t="shared" si="4"/>
        <v>246</v>
      </c>
      <c r="M8" s="4">
        <f t="shared" si="5"/>
        <v>61.5</v>
      </c>
      <c r="N8" s="4">
        <f t="shared" si="0"/>
        <v>82.333333333333329</v>
      </c>
    </row>
    <row r="9" spans="1:15" x14ac:dyDescent="0.3">
      <c r="A9" s="2">
        <v>4</v>
      </c>
      <c r="B9" s="8" t="s">
        <v>13</v>
      </c>
      <c r="C9" s="4">
        <v>87</v>
      </c>
      <c r="D9" s="4">
        <v>86</v>
      </c>
      <c r="E9" s="4">
        <v>87</v>
      </c>
      <c r="F9" s="5"/>
      <c r="G9" s="6">
        <f t="shared" si="1"/>
        <v>260</v>
      </c>
      <c r="H9" s="4">
        <f t="shared" si="2"/>
        <v>86.666666666666671</v>
      </c>
      <c r="I9" s="4">
        <f t="shared" si="3"/>
        <v>21.666666666666668</v>
      </c>
      <c r="J9" s="5"/>
      <c r="K9" s="4">
        <v>85</v>
      </c>
      <c r="L9" s="4">
        <f t="shared" si="4"/>
        <v>255</v>
      </c>
      <c r="M9" s="4">
        <f t="shared" si="5"/>
        <v>63.75</v>
      </c>
      <c r="N9" s="4">
        <f t="shared" si="0"/>
        <v>85.416666666666671</v>
      </c>
    </row>
    <row r="10" spans="1:15" x14ac:dyDescent="0.3">
      <c r="A10" s="2">
        <v>5</v>
      </c>
      <c r="B10" s="8" t="s">
        <v>16</v>
      </c>
      <c r="C10" s="4">
        <v>90</v>
      </c>
      <c r="D10" s="4">
        <v>90</v>
      </c>
      <c r="E10" s="4">
        <v>91</v>
      </c>
      <c r="F10" s="5"/>
      <c r="G10" s="6">
        <f t="shared" si="1"/>
        <v>271</v>
      </c>
      <c r="H10" s="4">
        <f t="shared" si="2"/>
        <v>90.333333333333329</v>
      </c>
      <c r="I10" s="4">
        <f t="shared" si="3"/>
        <v>22.583333333333332</v>
      </c>
      <c r="J10" s="5"/>
      <c r="K10" s="4">
        <v>91</v>
      </c>
      <c r="L10" s="4">
        <f t="shared" si="4"/>
        <v>273</v>
      </c>
      <c r="M10" s="4">
        <f t="shared" si="5"/>
        <v>68.25</v>
      </c>
      <c r="N10" s="4">
        <f t="shared" si="0"/>
        <v>90.833333333333329</v>
      </c>
    </row>
    <row r="11" spans="1:15" x14ac:dyDescent="0.3">
      <c r="A11" s="2">
        <v>6</v>
      </c>
      <c r="B11" s="8" t="s">
        <v>17</v>
      </c>
      <c r="C11" s="4">
        <v>83</v>
      </c>
      <c r="D11" s="4">
        <v>77</v>
      </c>
      <c r="E11" s="4">
        <v>79</v>
      </c>
      <c r="F11" s="5"/>
      <c r="G11" s="6">
        <f t="shared" si="1"/>
        <v>239</v>
      </c>
      <c r="H11" s="4">
        <f t="shared" si="2"/>
        <v>79.666666666666671</v>
      </c>
      <c r="I11" s="4">
        <f t="shared" si="3"/>
        <v>19.916666666666668</v>
      </c>
      <c r="J11" s="5"/>
      <c r="K11" s="4">
        <v>80</v>
      </c>
      <c r="L11" s="4">
        <f t="shared" si="4"/>
        <v>240</v>
      </c>
      <c r="M11" s="4">
        <f t="shared" si="5"/>
        <v>60</v>
      </c>
      <c r="N11" s="4">
        <f t="shared" si="0"/>
        <v>79.916666666666671</v>
      </c>
    </row>
    <row r="12" spans="1:15" x14ac:dyDescent="0.3">
      <c r="A12" s="2">
        <v>7</v>
      </c>
      <c r="B12" s="8" t="s">
        <v>14</v>
      </c>
      <c r="C12" s="4">
        <v>94</v>
      </c>
      <c r="D12" s="4">
        <v>90</v>
      </c>
      <c r="E12" s="4">
        <v>93</v>
      </c>
      <c r="F12" s="5"/>
      <c r="G12" s="6">
        <f t="shared" si="1"/>
        <v>277</v>
      </c>
      <c r="H12" s="4">
        <f t="shared" si="2"/>
        <v>92.333333333333329</v>
      </c>
      <c r="I12" s="4">
        <f t="shared" si="3"/>
        <v>23.083333333333332</v>
      </c>
      <c r="J12" s="5"/>
      <c r="K12" s="4">
        <v>92</v>
      </c>
      <c r="L12" s="4">
        <f t="shared" si="4"/>
        <v>276</v>
      </c>
      <c r="M12" s="4">
        <f t="shared" si="5"/>
        <v>69</v>
      </c>
      <c r="N12" s="4">
        <f t="shared" si="0"/>
        <v>92.083333333333329</v>
      </c>
    </row>
    <row r="13" spans="1:15" x14ac:dyDescent="0.3">
      <c r="A13" s="2">
        <v>8</v>
      </c>
      <c r="B13" s="8" t="s">
        <v>12</v>
      </c>
      <c r="C13" s="4">
        <v>88</v>
      </c>
      <c r="D13" s="4">
        <v>87</v>
      </c>
      <c r="E13" s="4">
        <v>86</v>
      </c>
      <c r="F13" s="5"/>
      <c r="G13" s="6">
        <f t="shared" si="1"/>
        <v>261</v>
      </c>
      <c r="H13" s="4">
        <f t="shared" si="2"/>
        <v>87</v>
      </c>
      <c r="I13" s="4">
        <f t="shared" si="3"/>
        <v>21.75</v>
      </c>
      <c r="J13" s="5"/>
      <c r="K13" s="4">
        <v>88</v>
      </c>
      <c r="L13" s="4">
        <f t="shared" si="4"/>
        <v>264</v>
      </c>
      <c r="M13" s="4">
        <f t="shared" si="5"/>
        <v>66</v>
      </c>
      <c r="N13" s="4">
        <f t="shared" si="0"/>
        <v>87.75</v>
      </c>
    </row>
    <row r="15" spans="1:15" x14ac:dyDescent="0.3">
      <c r="C15" s="2">
        <f>AVERAGE(C6:C13)</f>
        <v>87.25</v>
      </c>
    </row>
    <row r="16" spans="1:15" x14ac:dyDescent="0.3">
      <c r="A16" s="63" t="s">
        <v>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 spans="1:15" x14ac:dyDescent="0.3">
      <c r="A17" s="63" t="s">
        <v>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 spans="1:15" x14ac:dyDescent="0.3">
      <c r="A18" s="63" t="s">
        <v>178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</row>
    <row r="19" spans="1:15" x14ac:dyDescent="0.3">
      <c r="B19" s="64" t="s">
        <v>19</v>
      </c>
      <c r="C19" s="64"/>
      <c r="D19" s="64"/>
    </row>
    <row r="20" spans="1:15" x14ac:dyDescent="0.3">
      <c r="C20" s="1" t="s">
        <v>4</v>
      </c>
      <c r="D20" s="1" t="s">
        <v>5</v>
      </c>
      <c r="E20" s="1" t="s">
        <v>6</v>
      </c>
      <c r="F20" s="1"/>
      <c r="G20" s="1" t="s">
        <v>7</v>
      </c>
      <c r="H20" s="1" t="s">
        <v>8</v>
      </c>
      <c r="I20" s="3">
        <v>0.25</v>
      </c>
      <c r="J20" s="1"/>
      <c r="K20" s="1" t="s">
        <v>9</v>
      </c>
      <c r="L20" s="1"/>
      <c r="M20" s="3">
        <v>0.75</v>
      </c>
      <c r="N20" s="1" t="s">
        <v>10</v>
      </c>
    </row>
    <row r="21" spans="1:15" x14ac:dyDescent="0.3">
      <c r="A21" s="2">
        <v>1</v>
      </c>
      <c r="B21" s="1" t="s">
        <v>11</v>
      </c>
      <c r="C21" s="4">
        <v>99</v>
      </c>
      <c r="D21" s="4">
        <v>96</v>
      </c>
      <c r="E21" s="4">
        <v>95</v>
      </c>
      <c r="F21" s="5"/>
      <c r="G21" s="6">
        <f>SUM(C21:E21)</f>
        <v>290</v>
      </c>
      <c r="H21" s="4">
        <f>AVERAGE(C21:E21)</f>
        <v>96.666666666666671</v>
      </c>
      <c r="I21" s="4">
        <f>G21/12</f>
        <v>24.166666666666668</v>
      </c>
      <c r="J21" s="5"/>
      <c r="K21" s="4"/>
      <c r="L21" s="4">
        <f>K21*3</f>
        <v>0</v>
      </c>
      <c r="M21" s="4">
        <f>L21/4</f>
        <v>0</v>
      </c>
      <c r="N21" s="4">
        <f>M21+I21</f>
        <v>24.166666666666668</v>
      </c>
    </row>
    <row r="22" spans="1:15" x14ac:dyDescent="0.3">
      <c r="A22" s="2">
        <v>2</v>
      </c>
      <c r="B22" s="8" t="s">
        <v>18</v>
      </c>
      <c r="C22" s="4">
        <v>85</v>
      </c>
      <c r="D22" s="4">
        <v>88</v>
      </c>
      <c r="E22" s="4">
        <v>86</v>
      </c>
      <c r="F22" s="5"/>
      <c r="G22" s="6">
        <f t="shared" ref="G22:G28" si="6">SUM(C22:E22)</f>
        <v>259</v>
      </c>
      <c r="H22" s="4">
        <f t="shared" ref="H22:H28" si="7">AVERAGE(C22:E22)</f>
        <v>86.333333333333329</v>
      </c>
      <c r="I22" s="4">
        <f t="shared" ref="I22:I28" si="8">G22/12</f>
        <v>21.583333333333332</v>
      </c>
      <c r="J22" s="5"/>
      <c r="K22" s="4"/>
      <c r="L22" s="4">
        <f t="shared" ref="L22:L28" si="9">K22*3</f>
        <v>0</v>
      </c>
      <c r="M22" s="4">
        <f t="shared" ref="M22:M28" si="10">L22/4</f>
        <v>0</v>
      </c>
      <c r="N22" s="4">
        <f t="shared" ref="N22:N28" si="11">M22+I22</f>
        <v>21.583333333333332</v>
      </c>
    </row>
    <row r="23" spans="1:15" x14ac:dyDescent="0.3">
      <c r="A23" s="2">
        <v>3</v>
      </c>
      <c r="B23" s="8" t="s">
        <v>15</v>
      </c>
      <c r="C23" s="4">
        <v>94</v>
      </c>
      <c r="D23" s="4">
        <v>89</v>
      </c>
      <c r="E23" s="4">
        <v>95</v>
      </c>
      <c r="F23" s="5"/>
      <c r="G23" s="6">
        <f t="shared" si="6"/>
        <v>278</v>
      </c>
      <c r="H23" s="4">
        <f t="shared" si="7"/>
        <v>92.666666666666671</v>
      </c>
      <c r="I23" s="4">
        <f t="shared" si="8"/>
        <v>23.166666666666668</v>
      </c>
      <c r="J23" s="5"/>
      <c r="K23" s="4"/>
      <c r="L23" s="4">
        <f t="shared" si="9"/>
        <v>0</v>
      </c>
      <c r="M23" s="4">
        <f t="shared" si="10"/>
        <v>0</v>
      </c>
      <c r="N23" s="4">
        <f t="shared" si="11"/>
        <v>23.166666666666668</v>
      </c>
    </row>
    <row r="24" spans="1:15" x14ac:dyDescent="0.3">
      <c r="A24" s="2">
        <v>4</v>
      </c>
      <c r="B24" s="8" t="s">
        <v>13</v>
      </c>
      <c r="C24" s="4">
        <v>96</v>
      </c>
      <c r="D24" s="4">
        <v>95</v>
      </c>
      <c r="E24" s="4">
        <v>95</v>
      </c>
      <c r="F24" s="5"/>
      <c r="G24" s="6">
        <f t="shared" si="6"/>
        <v>286</v>
      </c>
      <c r="H24" s="4">
        <f t="shared" si="7"/>
        <v>95.333333333333329</v>
      </c>
      <c r="I24" s="4">
        <f t="shared" si="8"/>
        <v>23.833333333333332</v>
      </c>
      <c r="J24" s="5"/>
      <c r="K24" s="4"/>
      <c r="L24" s="4">
        <f t="shared" si="9"/>
        <v>0</v>
      </c>
      <c r="M24" s="4">
        <f t="shared" si="10"/>
        <v>0</v>
      </c>
      <c r="N24" s="4">
        <f t="shared" si="11"/>
        <v>23.833333333333332</v>
      </c>
    </row>
    <row r="25" spans="1:15" x14ac:dyDescent="0.3">
      <c r="A25" s="2">
        <v>5</v>
      </c>
      <c r="B25" s="8" t="s">
        <v>16</v>
      </c>
      <c r="C25" s="4">
        <v>99</v>
      </c>
      <c r="D25" s="4">
        <v>95</v>
      </c>
      <c r="E25" s="4">
        <v>96</v>
      </c>
      <c r="F25" s="5"/>
      <c r="G25" s="6">
        <f t="shared" si="6"/>
        <v>290</v>
      </c>
      <c r="H25" s="4">
        <f t="shared" si="7"/>
        <v>96.666666666666671</v>
      </c>
      <c r="I25" s="4">
        <f t="shared" si="8"/>
        <v>24.166666666666668</v>
      </c>
      <c r="J25" s="5"/>
      <c r="K25" s="4"/>
      <c r="L25" s="4">
        <f t="shared" si="9"/>
        <v>0</v>
      </c>
      <c r="M25" s="4">
        <f t="shared" si="10"/>
        <v>0</v>
      </c>
      <c r="N25" s="4">
        <f t="shared" si="11"/>
        <v>24.166666666666668</v>
      </c>
    </row>
    <row r="26" spans="1:15" x14ac:dyDescent="0.3">
      <c r="A26" s="2">
        <v>6</v>
      </c>
      <c r="B26" s="8" t="s">
        <v>17</v>
      </c>
      <c r="C26" s="4">
        <v>89</v>
      </c>
      <c r="D26" s="4">
        <v>88</v>
      </c>
      <c r="E26" s="4">
        <v>86</v>
      </c>
      <c r="F26" s="5"/>
      <c r="G26" s="6">
        <f t="shared" si="6"/>
        <v>263</v>
      </c>
      <c r="H26" s="4">
        <f t="shared" si="7"/>
        <v>87.666666666666671</v>
      </c>
      <c r="I26" s="4">
        <f t="shared" si="8"/>
        <v>21.916666666666668</v>
      </c>
      <c r="J26" s="5"/>
      <c r="K26" s="4"/>
      <c r="L26" s="4">
        <f t="shared" si="9"/>
        <v>0</v>
      </c>
      <c r="M26" s="4">
        <f t="shared" si="10"/>
        <v>0</v>
      </c>
      <c r="N26" s="4">
        <f t="shared" si="11"/>
        <v>21.916666666666668</v>
      </c>
    </row>
    <row r="27" spans="1:15" x14ac:dyDescent="0.3">
      <c r="A27" s="2">
        <v>7</v>
      </c>
      <c r="B27" s="8" t="s">
        <v>14</v>
      </c>
      <c r="C27" s="4">
        <v>92</v>
      </c>
      <c r="D27" s="4">
        <v>92</v>
      </c>
      <c r="E27" s="4">
        <v>96</v>
      </c>
      <c r="F27" s="5"/>
      <c r="G27" s="6">
        <f t="shared" si="6"/>
        <v>280</v>
      </c>
      <c r="H27" s="4">
        <f t="shared" si="7"/>
        <v>93.333333333333329</v>
      </c>
      <c r="I27" s="4">
        <f t="shared" si="8"/>
        <v>23.333333333333332</v>
      </c>
      <c r="J27" s="5"/>
      <c r="K27" s="4"/>
      <c r="L27" s="4">
        <f t="shared" si="9"/>
        <v>0</v>
      </c>
      <c r="M27" s="4">
        <f t="shared" si="10"/>
        <v>0</v>
      </c>
      <c r="N27" s="4">
        <f t="shared" si="11"/>
        <v>23.333333333333332</v>
      </c>
    </row>
    <row r="28" spans="1:15" x14ac:dyDescent="0.3">
      <c r="A28" s="2">
        <v>8</v>
      </c>
      <c r="B28" s="8" t="s">
        <v>12</v>
      </c>
      <c r="C28" s="4">
        <v>100</v>
      </c>
      <c r="D28" s="4">
        <v>98</v>
      </c>
      <c r="E28" s="4">
        <v>100</v>
      </c>
      <c r="F28" s="5"/>
      <c r="G28" s="6">
        <f t="shared" si="6"/>
        <v>298</v>
      </c>
      <c r="H28" s="4">
        <f t="shared" si="7"/>
        <v>99.333333333333329</v>
      </c>
      <c r="I28" s="4">
        <f t="shared" si="8"/>
        <v>24.833333333333332</v>
      </c>
      <c r="J28" s="5"/>
      <c r="K28" s="4"/>
      <c r="L28" s="4">
        <f t="shared" si="9"/>
        <v>0</v>
      </c>
      <c r="M28" s="4">
        <f t="shared" si="10"/>
        <v>0</v>
      </c>
      <c r="N28" s="4">
        <f t="shared" si="11"/>
        <v>24.833333333333332</v>
      </c>
    </row>
    <row r="31" spans="1:15" x14ac:dyDescent="0.3">
      <c r="A31" s="63" t="s">
        <v>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1:15" x14ac:dyDescent="0.3">
      <c r="A32" s="63" t="s">
        <v>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1:15" x14ac:dyDescent="0.3">
      <c r="A33" s="63" t="s">
        <v>178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1:15" x14ac:dyDescent="0.3">
      <c r="B34" s="64" t="s">
        <v>20</v>
      </c>
      <c r="C34" s="64"/>
      <c r="D34" s="64"/>
    </row>
    <row r="35" spans="1:15" x14ac:dyDescent="0.3">
      <c r="C35" s="1" t="s">
        <v>4</v>
      </c>
      <c r="D35" s="1" t="s">
        <v>5</v>
      </c>
      <c r="E35" s="1" t="s">
        <v>6</v>
      </c>
      <c r="F35" s="1"/>
      <c r="G35" s="1" t="s">
        <v>7</v>
      </c>
      <c r="H35" s="1" t="s">
        <v>8</v>
      </c>
      <c r="I35" s="3">
        <v>0.25</v>
      </c>
      <c r="J35" s="1"/>
      <c r="K35" s="1" t="s">
        <v>9</v>
      </c>
      <c r="L35" s="1"/>
      <c r="M35" s="3">
        <v>0.75</v>
      </c>
      <c r="N35" s="1" t="s">
        <v>10</v>
      </c>
    </row>
    <row r="36" spans="1:15" x14ac:dyDescent="0.3">
      <c r="A36" s="2">
        <v>1</v>
      </c>
      <c r="B36" s="1" t="s">
        <v>11</v>
      </c>
      <c r="C36" s="4">
        <v>90</v>
      </c>
      <c r="D36" s="4">
        <v>92</v>
      </c>
      <c r="E36" s="4">
        <v>93</v>
      </c>
      <c r="F36" s="5"/>
      <c r="G36" s="6">
        <f>SUM(C36:E36)</f>
        <v>275</v>
      </c>
      <c r="H36" s="4">
        <f>AVERAGE(C36:E36)</f>
        <v>91.666666666666671</v>
      </c>
      <c r="I36" s="4">
        <f>G36/12</f>
        <v>22.916666666666668</v>
      </c>
      <c r="J36" s="5"/>
      <c r="K36" s="4">
        <v>93</v>
      </c>
      <c r="L36" s="4">
        <f>K36*3</f>
        <v>279</v>
      </c>
      <c r="M36" s="4">
        <f>L36/4</f>
        <v>69.75</v>
      </c>
      <c r="N36" s="4">
        <f>M36+I36</f>
        <v>92.666666666666671</v>
      </c>
    </row>
    <row r="37" spans="1:15" x14ac:dyDescent="0.3">
      <c r="A37" s="2">
        <v>2</v>
      </c>
      <c r="B37" s="8" t="s">
        <v>18</v>
      </c>
      <c r="C37" s="4">
        <v>71</v>
      </c>
      <c r="D37" s="4">
        <v>75</v>
      </c>
      <c r="E37" s="4">
        <v>72</v>
      </c>
      <c r="F37" s="5"/>
      <c r="G37" s="6">
        <f t="shared" ref="G37:G43" si="12">SUM(C37:E37)</f>
        <v>218</v>
      </c>
      <c r="H37" s="4">
        <f t="shared" ref="H37:H43" si="13">AVERAGE(C37:E37)</f>
        <v>72.666666666666671</v>
      </c>
      <c r="I37" s="4">
        <f t="shared" ref="I37:I43" si="14">G37/12</f>
        <v>18.166666666666668</v>
      </c>
      <c r="J37" s="5"/>
      <c r="K37" s="4">
        <v>71</v>
      </c>
      <c r="L37" s="4">
        <f t="shared" ref="L37:L43" si="15">K37*3</f>
        <v>213</v>
      </c>
      <c r="M37" s="4">
        <f t="shared" ref="M37:M43" si="16">L37/4</f>
        <v>53.25</v>
      </c>
      <c r="N37" s="4">
        <f t="shared" ref="N37:N43" si="17">M37+I37</f>
        <v>71.416666666666671</v>
      </c>
    </row>
    <row r="38" spans="1:15" x14ac:dyDescent="0.3">
      <c r="A38" s="2">
        <v>3</v>
      </c>
      <c r="B38" s="8" t="s">
        <v>15</v>
      </c>
      <c r="C38" s="4">
        <v>75</v>
      </c>
      <c r="D38" s="4">
        <v>71</v>
      </c>
      <c r="E38" s="4">
        <v>74</v>
      </c>
      <c r="F38" s="5"/>
      <c r="G38" s="6">
        <f t="shared" si="12"/>
        <v>220</v>
      </c>
      <c r="H38" s="4">
        <f t="shared" si="13"/>
        <v>73.333333333333329</v>
      </c>
      <c r="I38" s="4">
        <f t="shared" si="14"/>
        <v>18.333333333333332</v>
      </c>
      <c r="J38" s="5"/>
      <c r="K38" s="4">
        <v>76</v>
      </c>
      <c r="L38" s="4">
        <f t="shared" si="15"/>
        <v>228</v>
      </c>
      <c r="M38" s="4">
        <f t="shared" si="16"/>
        <v>57</v>
      </c>
      <c r="N38" s="4">
        <f t="shared" si="17"/>
        <v>75.333333333333329</v>
      </c>
    </row>
    <row r="39" spans="1:15" x14ac:dyDescent="0.3">
      <c r="A39" s="2">
        <v>4</v>
      </c>
      <c r="B39" s="8" t="s">
        <v>13</v>
      </c>
      <c r="C39" s="4">
        <v>84</v>
      </c>
      <c r="D39" s="4">
        <v>84</v>
      </c>
      <c r="E39" s="4">
        <v>86</v>
      </c>
      <c r="F39" s="5"/>
      <c r="G39" s="6">
        <f t="shared" si="12"/>
        <v>254</v>
      </c>
      <c r="H39" s="4">
        <f t="shared" si="13"/>
        <v>84.666666666666671</v>
      </c>
      <c r="I39" s="4">
        <f t="shared" si="14"/>
        <v>21.166666666666668</v>
      </c>
      <c r="J39" s="5"/>
      <c r="K39" s="4">
        <v>84</v>
      </c>
      <c r="L39" s="4">
        <f t="shared" si="15"/>
        <v>252</v>
      </c>
      <c r="M39" s="4">
        <f t="shared" si="16"/>
        <v>63</v>
      </c>
      <c r="N39" s="4">
        <f t="shared" si="17"/>
        <v>84.166666666666671</v>
      </c>
    </row>
    <row r="40" spans="1:15" x14ac:dyDescent="0.3">
      <c r="A40" s="2">
        <v>5</v>
      </c>
      <c r="B40" s="8" t="s">
        <v>16</v>
      </c>
      <c r="C40" s="4">
        <v>80</v>
      </c>
      <c r="D40" s="4">
        <v>83</v>
      </c>
      <c r="E40" s="4">
        <v>80</v>
      </c>
      <c r="F40" s="5"/>
      <c r="G40" s="6">
        <f t="shared" si="12"/>
        <v>243</v>
      </c>
      <c r="H40" s="4">
        <f t="shared" si="13"/>
        <v>81</v>
      </c>
      <c r="I40" s="4">
        <f t="shared" si="14"/>
        <v>20.25</v>
      </c>
      <c r="J40" s="5"/>
      <c r="K40" s="4">
        <v>84</v>
      </c>
      <c r="L40" s="4">
        <f t="shared" si="15"/>
        <v>252</v>
      </c>
      <c r="M40" s="4">
        <f t="shared" si="16"/>
        <v>63</v>
      </c>
      <c r="N40" s="4">
        <f t="shared" si="17"/>
        <v>83.25</v>
      </c>
    </row>
    <row r="41" spans="1:15" x14ac:dyDescent="0.3">
      <c r="A41" s="2">
        <v>6</v>
      </c>
      <c r="B41" s="8" t="s">
        <v>17</v>
      </c>
      <c r="C41" s="4">
        <v>52</v>
      </c>
      <c r="D41" s="4">
        <v>62</v>
      </c>
      <c r="E41" s="4">
        <v>60</v>
      </c>
      <c r="F41" s="5"/>
      <c r="G41" s="6">
        <f t="shared" si="12"/>
        <v>174</v>
      </c>
      <c r="H41" s="4">
        <f t="shared" si="13"/>
        <v>58</v>
      </c>
      <c r="I41" s="4">
        <f t="shared" si="14"/>
        <v>14.5</v>
      </c>
      <c r="J41" s="5"/>
      <c r="K41" s="4">
        <v>62</v>
      </c>
      <c r="L41" s="4">
        <f t="shared" si="15"/>
        <v>186</v>
      </c>
      <c r="M41" s="4">
        <f t="shared" si="16"/>
        <v>46.5</v>
      </c>
      <c r="N41" s="4">
        <f t="shared" si="17"/>
        <v>61</v>
      </c>
    </row>
    <row r="42" spans="1:15" x14ac:dyDescent="0.3">
      <c r="A42" s="2">
        <v>7</v>
      </c>
      <c r="B42" s="8" t="s">
        <v>14</v>
      </c>
      <c r="C42" s="4">
        <v>77</v>
      </c>
      <c r="D42" s="4">
        <v>80</v>
      </c>
      <c r="E42" s="4">
        <v>81</v>
      </c>
      <c r="F42" s="5"/>
      <c r="G42" s="6">
        <f t="shared" si="12"/>
        <v>238</v>
      </c>
      <c r="H42" s="4">
        <f t="shared" si="13"/>
        <v>79.333333333333329</v>
      </c>
      <c r="I42" s="4">
        <f t="shared" si="14"/>
        <v>19.833333333333332</v>
      </c>
      <c r="J42" s="5"/>
      <c r="K42" s="4">
        <v>81</v>
      </c>
      <c r="L42" s="4">
        <f t="shared" si="15"/>
        <v>243</v>
      </c>
      <c r="M42" s="4">
        <f t="shared" si="16"/>
        <v>60.75</v>
      </c>
      <c r="N42" s="4">
        <f t="shared" si="17"/>
        <v>80.583333333333329</v>
      </c>
    </row>
    <row r="43" spans="1:15" x14ac:dyDescent="0.3">
      <c r="A43" s="2">
        <v>8</v>
      </c>
      <c r="B43" s="8" t="s">
        <v>12</v>
      </c>
      <c r="C43" s="4">
        <v>85</v>
      </c>
      <c r="D43" s="4">
        <v>89</v>
      </c>
      <c r="E43" s="4">
        <v>89</v>
      </c>
      <c r="F43" s="5"/>
      <c r="G43" s="6">
        <f t="shared" si="12"/>
        <v>263</v>
      </c>
      <c r="H43" s="4">
        <f t="shared" si="13"/>
        <v>87.666666666666671</v>
      </c>
      <c r="I43" s="4">
        <f t="shared" si="14"/>
        <v>21.916666666666668</v>
      </c>
      <c r="J43" s="5"/>
      <c r="K43" s="4">
        <v>90</v>
      </c>
      <c r="L43" s="4">
        <f t="shared" si="15"/>
        <v>270</v>
      </c>
      <c r="M43" s="4">
        <f t="shared" si="16"/>
        <v>67.5</v>
      </c>
      <c r="N43" s="4">
        <f t="shared" si="17"/>
        <v>89.416666666666671</v>
      </c>
    </row>
    <row r="45" spans="1:15" x14ac:dyDescent="0.3">
      <c r="C45" s="2">
        <f>AVERAGE(C36:C43)</f>
        <v>76.75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178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21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1" t="s">
        <v>11</v>
      </c>
      <c r="C53" s="4">
        <v>93</v>
      </c>
      <c r="D53" s="4">
        <v>92</v>
      </c>
      <c r="E53" s="4">
        <v>94</v>
      </c>
      <c r="F53" s="5"/>
      <c r="G53" s="6">
        <f>SUM(C53:E53)</f>
        <v>279</v>
      </c>
      <c r="H53" s="4">
        <f>AVERAGE(C53:E53)</f>
        <v>93</v>
      </c>
      <c r="I53" s="4">
        <f>G53/12</f>
        <v>23.25</v>
      </c>
      <c r="J53" s="5"/>
      <c r="K53" s="4">
        <v>94</v>
      </c>
      <c r="L53" s="4">
        <f>K53*3</f>
        <v>282</v>
      </c>
      <c r="M53" s="4">
        <f>L53/4</f>
        <v>70.5</v>
      </c>
      <c r="N53" s="4">
        <f>M53+I53</f>
        <v>93.75</v>
      </c>
    </row>
    <row r="54" spans="1:15" x14ac:dyDescent="0.3">
      <c r="A54" s="2">
        <v>2</v>
      </c>
      <c r="B54" s="8" t="s">
        <v>18</v>
      </c>
      <c r="C54" s="4">
        <v>80</v>
      </c>
      <c r="D54" s="4">
        <v>81</v>
      </c>
      <c r="E54" s="4">
        <v>83</v>
      </c>
      <c r="F54" s="5"/>
      <c r="G54" s="6">
        <f t="shared" ref="G54:G60" si="18">SUM(C54:E54)</f>
        <v>244</v>
      </c>
      <c r="H54" s="4">
        <f t="shared" ref="H54:H60" si="19">AVERAGE(C54:E54)</f>
        <v>81.333333333333329</v>
      </c>
      <c r="I54" s="4">
        <f t="shared" ref="I54:I60" si="20">G54/12</f>
        <v>20.333333333333332</v>
      </c>
      <c r="J54" s="5"/>
      <c r="K54" s="4">
        <v>83</v>
      </c>
      <c r="L54" s="4">
        <f t="shared" ref="L54:L60" si="21">K54*3</f>
        <v>249</v>
      </c>
      <c r="M54" s="4">
        <f t="shared" ref="M54:M60" si="22">L54/4</f>
        <v>62.25</v>
      </c>
      <c r="N54" s="4">
        <f t="shared" ref="N54:N60" si="23">M54+I54</f>
        <v>82.583333333333329</v>
      </c>
    </row>
    <row r="55" spans="1:15" x14ac:dyDescent="0.3">
      <c r="A55" s="2">
        <v>3</v>
      </c>
      <c r="B55" s="8" t="s">
        <v>15</v>
      </c>
      <c r="C55" s="4">
        <v>83</v>
      </c>
      <c r="D55" s="4">
        <v>86</v>
      </c>
      <c r="E55" s="4">
        <v>85</v>
      </c>
      <c r="F55" s="5"/>
      <c r="G55" s="6">
        <f t="shared" si="18"/>
        <v>254</v>
      </c>
      <c r="H55" s="4">
        <f t="shared" si="19"/>
        <v>84.666666666666671</v>
      </c>
      <c r="I55" s="4">
        <f t="shared" si="20"/>
        <v>21.166666666666668</v>
      </c>
      <c r="J55" s="5"/>
      <c r="K55" s="4">
        <v>82</v>
      </c>
      <c r="L55" s="4">
        <f t="shared" si="21"/>
        <v>246</v>
      </c>
      <c r="M55" s="4">
        <f t="shared" si="22"/>
        <v>61.5</v>
      </c>
      <c r="N55" s="4">
        <f t="shared" si="23"/>
        <v>82.666666666666671</v>
      </c>
    </row>
    <row r="56" spans="1:15" x14ac:dyDescent="0.3">
      <c r="A56" s="2">
        <v>4</v>
      </c>
      <c r="B56" s="8" t="s">
        <v>13</v>
      </c>
      <c r="C56" s="4">
        <v>96</v>
      </c>
      <c r="D56" s="4">
        <v>96</v>
      </c>
      <c r="E56" s="4">
        <v>97</v>
      </c>
      <c r="F56" s="5"/>
      <c r="G56" s="6">
        <f t="shared" si="18"/>
        <v>289</v>
      </c>
      <c r="H56" s="4">
        <f t="shared" si="19"/>
        <v>96.333333333333329</v>
      </c>
      <c r="I56" s="4">
        <f t="shared" si="20"/>
        <v>24.083333333333332</v>
      </c>
      <c r="J56" s="5"/>
      <c r="K56" s="4">
        <v>96</v>
      </c>
      <c r="L56" s="4">
        <f t="shared" si="21"/>
        <v>288</v>
      </c>
      <c r="M56" s="4">
        <f t="shared" si="22"/>
        <v>72</v>
      </c>
      <c r="N56" s="4">
        <f t="shared" si="23"/>
        <v>96.083333333333329</v>
      </c>
    </row>
    <row r="57" spans="1:15" x14ac:dyDescent="0.3">
      <c r="A57" s="2">
        <v>5</v>
      </c>
      <c r="B57" s="8" t="s">
        <v>16</v>
      </c>
      <c r="C57" s="4">
        <v>84</v>
      </c>
      <c r="D57" s="4">
        <v>85</v>
      </c>
      <c r="E57" s="4">
        <v>85</v>
      </c>
      <c r="F57" s="5"/>
      <c r="G57" s="6">
        <f t="shared" si="18"/>
        <v>254</v>
      </c>
      <c r="H57" s="4">
        <f t="shared" si="19"/>
        <v>84.666666666666671</v>
      </c>
      <c r="I57" s="4">
        <f t="shared" si="20"/>
        <v>21.166666666666668</v>
      </c>
      <c r="J57" s="5"/>
      <c r="K57" s="4">
        <v>86</v>
      </c>
      <c r="L57" s="4">
        <f t="shared" si="21"/>
        <v>258</v>
      </c>
      <c r="M57" s="4">
        <f t="shared" si="22"/>
        <v>64.5</v>
      </c>
      <c r="N57" s="4">
        <f t="shared" si="23"/>
        <v>85.666666666666671</v>
      </c>
    </row>
    <row r="58" spans="1:15" x14ac:dyDescent="0.3">
      <c r="A58" s="2">
        <v>6</v>
      </c>
      <c r="B58" s="8" t="s">
        <v>17</v>
      </c>
      <c r="C58" s="4">
        <v>77</v>
      </c>
      <c r="D58" s="4">
        <v>77</v>
      </c>
      <c r="E58" s="4">
        <v>75</v>
      </c>
      <c r="F58" s="5"/>
      <c r="G58" s="6">
        <f t="shared" si="18"/>
        <v>229</v>
      </c>
      <c r="H58" s="4">
        <f t="shared" si="19"/>
        <v>76.333333333333329</v>
      </c>
      <c r="I58" s="4">
        <f t="shared" si="20"/>
        <v>19.083333333333332</v>
      </c>
      <c r="J58" s="5"/>
      <c r="K58" s="4">
        <v>75</v>
      </c>
      <c r="L58" s="4">
        <f t="shared" si="21"/>
        <v>225</v>
      </c>
      <c r="M58" s="4">
        <f t="shared" si="22"/>
        <v>56.25</v>
      </c>
      <c r="N58" s="4">
        <f t="shared" si="23"/>
        <v>75.333333333333329</v>
      </c>
    </row>
    <row r="59" spans="1:15" x14ac:dyDescent="0.3">
      <c r="A59" s="2">
        <v>7</v>
      </c>
      <c r="B59" s="8" t="s">
        <v>14</v>
      </c>
      <c r="C59" s="4">
        <v>85</v>
      </c>
      <c r="D59" s="4">
        <v>86</v>
      </c>
      <c r="E59" s="4">
        <v>86</v>
      </c>
      <c r="F59" s="5"/>
      <c r="G59" s="6">
        <f t="shared" si="18"/>
        <v>257</v>
      </c>
      <c r="H59" s="4">
        <f t="shared" si="19"/>
        <v>85.666666666666671</v>
      </c>
      <c r="I59" s="4">
        <f t="shared" si="20"/>
        <v>21.416666666666668</v>
      </c>
      <c r="J59" s="5"/>
      <c r="K59" s="4">
        <v>85</v>
      </c>
      <c r="L59" s="4">
        <f t="shared" si="21"/>
        <v>255</v>
      </c>
      <c r="M59" s="4">
        <f t="shared" si="22"/>
        <v>63.75</v>
      </c>
      <c r="N59" s="4">
        <f t="shared" si="23"/>
        <v>85.166666666666671</v>
      </c>
    </row>
    <row r="60" spans="1:15" x14ac:dyDescent="0.3">
      <c r="A60" s="2">
        <v>8</v>
      </c>
      <c r="B60" s="8" t="s">
        <v>12</v>
      </c>
      <c r="C60" s="4">
        <v>91</v>
      </c>
      <c r="D60" s="4">
        <v>90</v>
      </c>
      <c r="E60" s="4">
        <v>91</v>
      </c>
      <c r="F60" s="5"/>
      <c r="G60" s="6">
        <f t="shared" si="18"/>
        <v>272</v>
      </c>
      <c r="H60" s="4">
        <f t="shared" si="19"/>
        <v>90.666666666666671</v>
      </c>
      <c r="I60" s="4">
        <f t="shared" si="20"/>
        <v>22.666666666666668</v>
      </c>
      <c r="J60" s="5"/>
      <c r="K60" s="4">
        <v>92</v>
      </c>
      <c r="L60" s="4">
        <f t="shared" si="21"/>
        <v>276</v>
      </c>
      <c r="M60" s="4">
        <f t="shared" si="22"/>
        <v>69</v>
      </c>
      <c r="N60" s="4">
        <f t="shared" si="23"/>
        <v>91.666666666666671</v>
      </c>
    </row>
    <row r="63" spans="1:15" x14ac:dyDescent="0.3">
      <c r="A63" s="63" t="s">
        <v>0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15" x14ac:dyDescent="0.3">
      <c r="A64" s="63" t="s">
        <v>1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1:15" x14ac:dyDescent="0.3">
      <c r="A65" s="63" t="s">
        <v>178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1:15" x14ac:dyDescent="0.3">
      <c r="B66" s="64" t="s">
        <v>22</v>
      </c>
      <c r="C66" s="64"/>
      <c r="D66" s="64"/>
    </row>
    <row r="67" spans="1:15" x14ac:dyDescent="0.3">
      <c r="C67" s="1" t="s">
        <v>4</v>
      </c>
      <c r="D67" s="1" t="s">
        <v>5</v>
      </c>
      <c r="E67" s="1" t="s">
        <v>6</v>
      </c>
      <c r="F67" s="1"/>
      <c r="G67" s="1" t="s">
        <v>7</v>
      </c>
      <c r="H67" s="1" t="s">
        <v>8</v>
      </c>
      <c r="I67" s="3">
        <v>0.25</v>
      </c>
      <c r="J67" s="1"/>
      <c r="K67" s="1" t="s">
        <v>9</v>
      </c>
      <c r="L67" s="1"/>
      <c r="M67" s="3">
        <v>0.75</v>
      </c>
      <c r="N67" s="1" t="s">
        <v>10</v>
      </c>
    </row>
    <row r="68" spans="1:15" x14ac:dyDescent="0.3">
      <c r="A68" s="2">
        <v>1</v>
      </c>
      <c r="B68" s="1" t="s">
        <v>11</v>
      </c>
      <c r="C68" s="4">
        <v>95</v>
      </c>
      <c r="D68" s="4">
        <v>93</v>
      </c>
      <c r="E68" s="4">
        <v>96</v>
      </c>
      <c r="F68" s="5"/>
      <c r="G68" s="6">
        <f>SUM(C68:E68)</f>
        <v>284</v>
      </c>
      <c r="H68" s="4">
        <f>AVERAGE(C68:E68)</f>
        <v>94.666666666666671</v>
      </c>
      <c r="I68" s="4">
        <f>G68/12</f>
        <v>23.666666666666668</v>
      </c>
      <c r="J68" s="5"/>
      <c r="K68" s="4">
        <v>96</v>
      </c>
      <c r="L68" s="4">
        <f>K68*3</f>
        <v>288</v>
      </c>
      <c r="M68" s="4">
        <f>L68/4</f>
        <v>72</v>
      </c>
      <c r="N68" s="4">
        <f>M68+I68</f>
        <v>95.666666666666671</v>
      </c>
    </row>
    <row r="69" spans="1:15" x14ac:dyDescent="0.3">
      <c r="A69" s="2">
        <v>2</v>
      </c>
      <c r="B69" s="8" t="s">
        <v>18</v>
      </c>
      <c r="C69" s="4">
        <v>80</v>
      </c>
      <c r="D69" s="4">
        <v>74</v>
      </c>
      <c r="E69" s="4">
        <v>82</v>
      </c>
      <c r="F69" s="5"/>
      <c r="G69" s="6">
        <f t="shared" ref="G69:G75" si="24">SUM(C69:E69)</f>
        <v>236</v>
      </c>
      <c r="H69" s="4">
        <f t="shared" ref="H69:H75" si="25">AVERAGE(C69:E69)</f>
        <v>78.666666666666671</v>
      </c>
      <c r="I69" s="4">
        <f t="shared" ref="I69:I75" si="26">G69/12</f>
        <v>19.666666666666668</v>
      </c>
      <c r="J69" s="5"/>
      <c r="K69" s="4">
        <v>80</v>
      </c>
      <c r="L69" s="4">
        <f t="shared" ref="L69:L75" si="27">K69*3</f>
        <v>240</v>
      </c>
      <c r="M69" s="4">
        <f t="shared" ref="M69:M75" si="28">L69/4</f>
        <v>60</v>
      </c>
      <c r="N69" s="4">
        <f t="shared" ref="N69:N75" si="29">M69+I69</f>
        <v>79.666666666666671</v>
      </c>
    </row>
    <row r="70" spans="1:15" x14ac:dyDescent="0.3">
      <c r="A70" s="2">
        <v>3</v>
      </c>
      <c r="B70" s="8" t="s">
        <v>15</v>
      </c>
      <c r="C70" s="4">
        <v>82</v>
      </c>
      <c r="D70" s="4">
        <v>78</v>
      </c>
      <c r="E70" s="4">
        <v>81</v>
      </c>
      <c r="F70" s="5"/>
      <c r="G70" s="6">
        <f t="shared" si="24"/>
        <v>241</v>
      </c>
      <c r="H70" s="4">
        <f t="shared" si="25"/>
        <v>80.333333333333329</v>
      </c>
      <c r="I70" s="4">
        <f t="shared" si="26"/>
        <v>20.083333333333332</v>
      </c>
      <c r="J70" s="5"/>
      <c r="K70" s="4">
        <v>83</v>
      </c>
      <c r="L70" s="4">
        <f t="shared" si="27"/>
        <v>249</v>
      </c>
      <c r="M70" s="4">
        <f t="shared" si="28"/>
        <v>62.25</v>
      </c>
      <c r="N70" s="4">
        <f t="shared" si="29"/>
        <v>82.333333333333329</v>
      </c>
    </row>
    <row r="71" spans="1:15" x14ac:dyDescent="0.3">
      <c r="A71" s="2">
        <v>4</v>
      </c>
      <c r="B71" s="8" t="s">
        <v>13</v>
      </c>
      <c r="C71" s="4">
        <v>95</v>
      </c>
      <c r="D71" s="4">
        <v>95</v>
      </c>
      <c r="E71" s="4">
        <v>98</v>
      </c>
      <c r="F71" s="5"/>
      <c r="G71" s="6">
        <f t="shared" si="24"/>
        <v>288</v>
      </c>
      <c r="H71" s="4">
        <f t="shared" si="25"/>
        <v>96</v>
      </c>
      <c r="I71" s="4">
        <f t="shared" si="26"/>
        <v>24</v>
      </c>
      <c r="J71" s="5"/>
      <c r="K71" s="4">
        <v>97</v>
      </c>
      <c r="L71" s="4">
        <f t="shared" si="27"/>
        <v>291</v>
      </c>
      <c r="M71" s="4">
        <f t="shared" si="28"/>
        <v>72.75</v>
      </c>
      <c r="N71" s="4">
        <f t="shared" si="29"/>
        <v>96.75</v>
      </c>
    </row>
    <row r="72" spans="1:15" x14ac:dyDescent="0.3">
      <c r="A72" s="2">
        <v>5</v>
      </c>
      <c r="B72" s="8" t="s">
        <v>16</v>
      </c>
      <c r="C72" s="4">
        <v>85</v>
      </c>
      <c r="D72" s="4">
        <v>80</v>
      </c>
      <c r="E72" s="4">
        <v>77</v>
      </c>
      <c r="F72" s="5"/>
      <c r="G72" s="6">
        <f t="shared" si="24"/>
        <v>242</v>
      </c>
      <c r="H72" s="4">
        <f t="shared" si="25"/>
        <v>80.666666666666671</v>
      </c>
      <c r="I72" s="4">
        <f t="shared" si="26"/>
        <v>20.166666666666668</v>
      </c>
      <c r="J72" s="5"/>
      <c r="K72" s="4">
        <v>82</v>
      </c>
      <c r="L72" s="4">
        <f t="shared" si="27"/>
        <v>246</v>
      </c>
      <c r="M72" s="4">
        <f t="shared" si="28"/>
        <v>61.5</v>
      </c>
      <c r="N72" s="4">
        <f t="shared" si="29"/>
        <v>81.666666666666671</v>
      </c>
    </row>
    <row r="73" spans="1:15" x14ac:dyDescent="0.3">
      <c r="A73" s="2">
        <v>6</v>
      </c>
      <c r="B73" s="8" t="s">
        <v>17</v>
      </c>
      <c r="C73" s="4">
        <v>81</v>
      </c>
      <c r="D73" s="4">
        <v>75</v>
      </c>
      <c r="E73" s="4">
        <v>85</v>
      </c>
      <c r="F73" s="5"/>
      <c r="G73" s="6">
        <f t="shared" si="24"/>
        <v>241</v>
      </c>
      <c r="H73" s="4">
        <f t="shared" si="25"/>
        <v>80.333333333333329</v>
      </c>
      <c r="I73" s="4">
        <f t="shared" si="26"/>
        <v>20.083333333333332</v>
      </c>
      <c r="J73" s="5"/>
      <c r="K73" s="4">
        <v>83</v>
      </c>
      <c r="L73" s="4">
        <f t="shared" si="27"/>
        <v>249</v>
      </c>
      <c r="M73" s="4">
        <f t="shared" si="28"/>
        <v>62.25</v>
      </c>
      <c r="N73" s="4">
        <f t="shared" si="29"/>
        <v>82.333333333333329</v>
      </c>
    </row>
    <row r="74" spans="1:15" x14ac:dyDescent="0.3">
      <c r="A74" s="2">
        <v>7</v>
      </c>
      <c r="B74" s="8" t="s">
        <v>14</v>
      </c>
      <c r="C74" s="4">
        <v>84</v>
      </c>
      <c r="D74" s="4">
        <v>83</v>
      </c>
      <c r="E74" s="4">
        <v>85</v>
      </c>
      <c r="F74" s="5"/>
      <c r="G74" s="6">
        <f t="shared" si="24"/>
        <v>252</v>
      </c>
      <c r="H74" s="4">
        <f t="shared" si="25"/>
        <v>84</v>
      </c>
      <c r="I74" s="4">
        <f t="shared" si="26"/>
        <v>21</v>
      </c>
      <c r="J74" s="5"/>
      <c r="K74" s="4">
        <v>85</v>
      </c>
      <c r="L74" s="4">
        <f t="shared" si="27"/>
        <v>255</v>
      </c>
      <c r="M74" s="4">
        <f t="shared" si="28"/>
        <v>63.75</v>
      </c>
      <c r="N74" s="4">
        <f t="shared" si="29"/>
        <v>84.75</v>
      </c>
    </row>
    <row r="75" spans="1:15" x14ac:dyDescent="0.3">
      <c r="A75" s="2">
        <v>8</v>
      </c>
      <c r="B75" s="8" t="s">
        <v>12</v>
      </c>
      <c r="C75" s="4">
        <v>98</v>
      </c>
      <c r="D75" s="4">
        <v>96</v>
      </c>
      <c r="E75" s="4">
        <v>99</v>
      </c>
      <c r="F75" s="5"/>
      <c r="G75" s="6">
        <f t="shared" si="24"/>
        <v>293</v>
      </c>
      <c r="H75" s="4">
        <f t="shared" si="25"/>
        <v>97.666666666666671</v>
      </c>
      <c r="I75" s="4">
        <f t="shared" si="26"/>
        <v>24.416666666666668</v>
      </c>
      <c r="J75" s="5"/>
      <c r="K75" s="4">
        <v>98</v>
      </c>
      <c r="L75" s="4">
        <f t="shared" si="27"/>
        <v>294</v>
      </c>
      <c r="M75" s="4">
        <f t="shared" si="28"/>
        <v>73.5</v>
      </c>
      <c r="N75" s="4">
        <f t="shared" si="29"/>
        <v>97.916666666666671</v>
      </c>
    </row>
    <row r="77" spans="1:15" x14ac:dyDescent="0.3">
      <c r="C77" s="2">
        <f>AVERAGE(C68:C75)</f>
        <v>87.5</v>
      </c>
    </row>
    <row r="78" spans="1:15" x14ac:dyDescent="0.3">
      <c r="A78" s="63" t="s">
        <v>0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1:15" x14ac:dyDescent="0.3">
      <c r="A79" s="63" t="s">
        <v>1</v>
      </c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1:15" x14ac:dyDescent="0.3">
      <c r="A80" s="63" t="s">
        <v>2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1:15" x14ac:dyDescent="0.3">
      <c r="B81" s="64" t="s">
        <v>23</v>
      </c>
      <c r="C81" s="64"/>
      <c r="D81" s="64"/>
    </row>
    <row r="82" spans="1:15" x14ac:dyDescent="0.3">
      <c r="C82" s="1" t="s">
        <v>4</v>
      </c>
      <c r="D82" s="1" t="s">
        <v>5</v>
      </c>
      <c r="E82" s="1" t="s">
        <v>6</v>
      </c>
      <c r="F82" s="1"/>
      <c r="G82" s="1" t="s">
        <v>7</v>
      </c>
      <c r="H82" s="1" t="s">
        <v>8</v>
      </c>
      <c r="I82" s="3">
        <v>0.25</v>
      </c>
      <c r="J82" s="1"/>
      <c r="K82" s="1" t="s">
        <v>9</v>
      </c>
      <c r="L82" s="1"/>
      <c r="M82" s="3">
        <v>0.75</v>
      </c>
      <c r="N82" s="1" t="s">
        <v>10</v>
      </c>
    </row>
    <row r="83" spans="1:15" x14ac:dyDescent="0.3">
      <c r="A83" s="2">
        <v>1</v>
      </c>
      <c r="B83" s="1" t="s">
        <v>11</v>
      </c>
      <c r="C83" s="4">
        <v>94</v>
      </c>
      <c r="D83" s="4">
        <v>91</v>
      </c>
      <c r="E83" s="4">
        <v>92</v>
      </c>
      <c r="F83" s="5"/>
      <c r="G83" s="6">
        <f>SUM(C83:E83)</f>
        <v>277</v>
      </c>
      <c r="H83" s="4">
        <f>AVERAGE(C83:E83)</f>
        <v>92.333333333333329</v>
      </c>
      <c r="I83" s="4">
        <f>G83/12</f>
        <v>23.083333333333332</v>
      </c>
      <c r="J83" s="5"/>
      <c r="K83" s="4">
        <v>95</v>
      </c>
      <c r="L83" s="4">
        <f>K83*3</f>
        <v>285</v>
      </c>
      <c r="M83" s="4">
        <f>L83/4</f>
        <v>71.25</v>
      </c>
      <c r="N83" s="4">
        <f>M83+I83</f>
        <v>94.333333333333329</v>
      </c>
    </row>
    <row r="84" spans="1:15" x14ac:dyDescent="0.3">
      <c r="A84" s="2">
        <v>2</v>
      </c>
      <c r="B84" s="8" t="s">
        <v>18</v>
      </c>
      <c r="C84" s="4">
        <v>71</v>
      </c>
      <c r="D84" s="4">
        <v>73</v>
      </c>
      <c r="E84" s="4">
        <v>70</v>
      </c>
      <c r="F84" s="5"/>
      <c r="G84" s="6">
        <f t="shared" ref="G84:G90" si="30">SUM(C84:E84)</f>
        <v>214</v>
      </c>
      <c r="H84" s="4">
        <f t="shared" ref="H84:H90" si="31">AVERAGE(C84:E84)</f>
        <v>71.333333333333329</v>
      </c>
      <c r="I84" s="4">
        <f t="shared" ref="I84:I90" si="32">G84/12</f>
        <v>17.833333333333332</v>
      </c>
      <c r="J84" s="5"/>
      <c r="K84" s="4">
        <v>75</v>
      </c>
      <c r="L84" s="4">
        <f t="shared" ref="L84:L90" si="33">K84*3</f>
        <v>225</v>
      </c>
      <c r="M84" s="4">
        <f t="shared" ref="M84:M90" si="34">L84/4</f>
        <v>56.25</v>
      </c>
      <c r="N84" s="4">
        <f t="shared" ref="N84:N90" si="35">M84+I84</f>
        <v>74.083333333333329</v>
      </c>
    </row>
    <row r="85" spans="1:15" x14ac:dyDescent="0.3">
      <c r="A85" s="2">
        <v>3</v>
      </c>
      <c r="B85" s="8" t="s">
        <v>15</v>
      </c>
      <c r="C85" s="4">
        <v>80</v>
      </c>
      <c r="D85" s="4">
        <v>81</v>
      </c>
      <c r="E85" s="4">
        <v>83</v>
      </c>
      <c r="F85" s="5"/>
      <c r="G85" s="6">
        <f t="shared" si="30"/>
        <v>244</v>
      </c>
      <c r="H85" s="4">
        <f t="shared" si="31"/>
        <v>81.333333333333329</v>
      </c>
      <c r="I85" s="4">
        <f t="shared" si="32"/>
        <v>20.333333333333332</v>
      </c>
      <c r="J85" s="5"/>
      <c r="K85" s="4">
        <v>85</v>
      </c>
      <c r="L85" s="4">
        <f t="shared" si="33"/>
        <v>255</v>
      </c>
      <c r="M85" s="4">
        <f t="shared" si="34"/>
        <v>63.75</v>
      </c>
      <c r="N85" s="4">
        <f t="shared" si="35"/>
        <v>84.083333333333329</v>
      </c>
    </row>
    <row r="86" spans="1:15" x14ac:dyDescent="0.3">
      <c r="A86" s="2">
        <v>4</v>
      </c>
      <c r="B86" s="8" t="s">
        <v>13</v>
      </c>
      <c r="C86" s="4">
        <v>89</v>
      </c>
      <c r="D86" s="4">
        <v>87</v>
      </c>
      <c r="E86" s="4">
        <v>84</v>
      </c>
      <c r="F86" s="5"/>
      <c r="G86" s="6">
        <f t="shared" si="30"/>
        <v>260</v>
      </c>
      <c r="H86" s="4">
        <f t="shared" si="31"/>
        <v>86.666666666666671</v>
      </c>
      <c r="I86" s="4">
        <f t="shared" si="32"/>
        <v>21.666666666666668</v>
      </c>
      <c r="J86" s="5"/>
      <c r="K86" s="4">
        <v>92</v>
      </c>
      <c r="L86" s="4">
        <f t="shared" si="33"/>
        <v>276</v>
      </c>
      <c r="M86" s="4">
        <f t="shared" si="34"/>
        <v>69</v>
      </c>
      <c r="N86" s="4">
        <f t="shared" si="35"/>
        <v>90.666666666666671</v>
      </c>
    </row>
    <row r="87" spans="1:15" x14ac:dyDescent="0.3">
      <c r="A87" s="2">
        <v>5</v>
      </c>
      <c r="B87" s="8" t="s">
        <v>16</v>
      </c>
      <c r="C87" s="4">
        <v>69</v>
      </c>
      <c r="D87" s="4">
        <v>65</v>
      </c>
      <c r="E87" s="4">
        <v>65</v>
      </c>
      <c r="F87" s="5"/>
      <c r="G87" s="6">
        <f t="shared" si="30"/>
        <v>199</v>
      </c>
      <c r="H87" s="4">
        <f t="shared" si="31"/>
        <v>66.333333333333329</v>
      </c>
      <c r="I87" s="4">
        <f t="shared" si="32"/>
        <v>16.583333333333332</v>
      </c>
      <c r="J87" s="5"/>
      <c r="K87" s="4">
        <v>69</v>
      </c>
      <c r="L87" s="4">
        <f t="shared" si="33"/>
        <v>207</v>
      </c>
      <c r="M87" s="4">
        <f t="shared" si="34"/>
        <v>51.75</v>
      </c>
      <c r="N87" s="4">
        <f t="shared" si="35"/>
        <v>68.333333333333329</v>
      </c>
    </row>
    <row r="88" spans="1:15" x14ac:dyDescent="0.3">
      <c r="A88" s="2">
        <v>6</v>
      </c>
      <c r="B88" s="8" t="s">
        <v>17</v>
      </c>
      <c r="C88" s="4">
        <v>75</v>
      </c>
      <c r="D88" s="4">
        <v>77</v>
      </c>
      <c r="E88" s="4">
        <v>72</v>
      </c>
      <c r="F88" s="5"/>
      <c r="G88" s="6">
        <f t="shared" si="30"/>
        <v>224</v>
      </c>
      <c r="H88" s="4">
        <f t="shared" si="31"/>
        <v>74.666666666666671</v>
      </c>
      <c r="I88" s="4">
        <f t="shared" si="32"/>
        <v>18.666666666666668</v>
      </c>
      <c r="J88" s="5"/>
      <c r="K88" s="4">
        <v>78</v>
      </c>
      <c r="L88" s="4">
        <f t="shared" si="33"/>
        <v>234</v>
      </c>
      <c r="M88" s="4">
        <f t="shared" si="34"/>
        <v>58.5</v>
      </c>
      <c r="N88" s="4">
        <f t="shared" si="35"/>
        <v>77.166666666666671</v>
      </c>
    </row>
    <row r="89" spans="1:15" x14ac:dyDescent="0.3">
      <c r="A89" s="2">
        <v>7</v>
      </c>
      <c r="B89" s="8" t="s">
        <v>14</v>
      </c>
      <c r="C89" s="4">
        <v>80</v>
      </c>
      <c r="D89" s="4">
        <v>75</v>
      </c>
      <c r="E89" s="4">
        <v>75</v>
      </c>
      <c r="F89" s="5"/>
      <c r="G89" s="6">
        <f t="shared" si="30"/>
        <v>230</v>
      </c>
      <c r="H89" s="4">
        <f t="shared" si="31"/>
        <v>76.666666666666671</v>
      </c>
      <c r="I89" s="4">
        <f t="shared" si="32"/>
        <v>19.166666666666668</v>
      </c>
      <c r="J89" s="5"/>
      <c r="K89" s="4">
        <v>85</v>
      </c>
      <c r="L89" s="4">
        <f t="shared" si="33"/>
        <v>255</v>
      </c>
      <c r="M89" s="4">
        <f t="shared" si="34"/>
        <v>63.75</v>
      </c>
      <c r="N89" s="4">
        <f t="shared" si="35"/>
        <v>82.916666666666671</v>
      </c>
    </row>
    <row r="90" spans="1:15" x14ac:dyDescent="0.3">
      <c r="A90" s="2">
        <v>8</v>
      </c>
      <c r="B90" s="8" t="s">
        <v>12</v>
      </c>
      <c r="C90" s="4">
        <v>94</v>
      </c>
      <c r="D90" s="4">
        <v>92</v>
      </c>
      <c r="E90" s="4">
        <v>90</v>
      </c>
      <c r="F90" s="5"/>
      <c r="G90" s="6">
        <f t="shared" si="30"/>
        <v>276</v>
      </c>
      <c r="H90" s="4">
        <f t="shared" si="31"/>
        <v>92</v>
      </c>
      <c r="I90" s="4">
        <f t="shared" si="32"/>
        <v>23</v>
      </c>
      <c r="J90" s="5"/>
      <c r="K90" s="4">
        <v>96</v>
      </c>
      <c r="L90" s="4">
        <f t="shared" si="33"/>
        <v>288</v>
      </c>
      <c r="M90" s="4">
        <f t="shared" si="34"/>
        <v>72</v>
      </c>
      <c r="N90" s="4">
        <f t="shared" si="35"/>
        <v>95</v>
      </c>
    </row>
    <row r="92" spans="1:15" x14ac:dyDescent="0.3">
      <c r="C92" s="2">
        <f>AVERAGE(C83:C90)</f>
        <v>81.5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24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1" t="s">
        <v>11</v>
      </c>
      <c r="C100" s="4">
        <v>87</v>
      </c>
      <c r="D100" s="4">
        <v>89</v>
      </c>
      <c r="E100" s="4">
        <v>85</v>
      </c>
      <c r="F100" s="5"/>
      <c r="G100" s="6">
        <f>SUM(C100:E100)</f>
        <v>261</v>
      </c>
      <c r="H100" s="4">
        <f>AVERAGE(C100:E100)</f>
        <v>87</v>
      </c>
      <c r="I100" s="4">
        <f>G100/12</f>
        <v>21.75</v>
      </c>
      <c r="J100" s="5"/>
      <c r="K100" s="4">
        <v>85</v>
      </c>
      <c r="L100" s="4">
        <f>K100*3</f>
        <v>255</v>
      </c>
      <c r="M100" s="4">
        <f>L100/4</f>
        <v>63.75</v>
      </c>
      <c r="N100" s="4">
        <f>M100+I100</f>
        <v>85.5</v>
      </c>
    </row>
    <row r="101" spans="1:15" x14ac:dyDescent="0.3">
      <c r="A101" s="2">
        <v>2</v>
      </c>
      <c r="B101" s="8" t="s">
        <v>18</v>
      </c>
      <c r="C101" s="4">
        <v>62</v>
      </c>
      <c r="D101" s="4">
        <v>69</v>
      </c>
      <c r="E101" s="4">
        <v>65</v>
      </c>
      <c r="F101" s="5"/>
      <c r="G101" s="6">
        <f t="shared" ref="G101:G107" si="36">SUM(C101:E101)</f>
        <v>196</v>
      </c>
      <c r="H101" s="4">
        <f t="shared" ref="H101:H107" si="37">AVERAGE(C101:E101)</f>
        <v>65.333333333333329</v>
      </c>
      <c r="I101" s="4">
        <f t="shared" ref="I101:I107" si="38">G101/12</f>
        <v>16.333333333333332</v>
      </c>
      <c r="J101" s="5"/>
      <c r="K101" s="4">
        <v>65</v>
      </c>
      <c r="L101" s="4">
        <f t="shared" ref="L101:L107" si="39">K101*3</f>
        <v>195</v>
      </c>
      <c r="M101" s="4">
        <f t="shared" ref="M101:M107" si="40">L101/4</f>
        <v>48.75</v>
      </c>
      <c r="N101" s="4">
        <f t="shared" ref="N101:N107" si="41">M101+I101</f>
        <v>65.083333333333329</v>
      </c>
    </row>
    <row r="102" spans="1:15" x14ac:dyDescent="0.3">
      <c r="A102" s="2">
        <v>3</v>
      </c>
      <c r="B102" s="8" t="s">
        <v>15</v>
      </c>
      <c r="C102" s="4">
        <v>77</v>
      </c>
      <c r="D102" s="4">
        <v>76</v>
      </c>
      <c r="E102" s="4">
        <v>77</v>
      </c>
      <c r="F102" s="5"/>
      <c r="G102" s="6">
        <f t="shared" si="36"/>
        <v>230</v>
      </c>
      <c r="H102" s="4">
        <f t="shared" si="37"/>
        <v>76.666666666666671</v>
      </c>
      <c r="I102" s="4">
        <f t="shared" si="38"/>
        <v>19.166666666666668</v>
      </c>
      <c r="J102" s="5"/>
      <c r="K102" s="4">
        <v>75</v>
      </c>
      <c r="L102" s="4">
        <f t="shared" si="39"/>
        <v>225</v>
      </c>
      <c r="M102" s="4">
        <f t="shared" si="40"/>
        <v>56.25</v>
      </c>
      <c r="N102" s="4">
        <f t="shared" si="41"/>
        <v>75.416666666666671</v>
      </c>
    </row>
    <row r="103" spans="1:15" x14ac:dyDescent="0.3">
      <c r="A103" s="2">
        <v>4</v>
      </c>
      <c r="B103" s="8" t="s">
        <v>13</v>
      </c>
      <c r="C103" s="4">
        <v>82</v>
      </c>
      <c r="D103" s="4">
        <v>84</v>
      </c>
      <c r="E103" s="4">
        <v>82</v>
      </c>
      <c r="F103" s="5"/>
      <c r="G103" s="6">
        <f t="shared" si="36"/>
        <v>248</v>
      </c>
      <c r="H103" s="4">
        <f t="shared" si="37"/>
        <v>82.666666666666671</v>
      </c>
      <c r="I103" s="4">
        <f t="shared" si="38"/>
        <v>20.666666666666668</v>
      </c>
      <c r="J103" s="5"/>
      <c r="K103" s="4">
        <v>82</v>
      </c>
      <c r="L103" s="4">
        <f t="shared" si="39"/>
        <v>246</v>
      </c>
      <c r="M103" s="4">
        <f t="shared" si="40"/>
        <v>61.5</v>
      </c>
      <c r="N103" s="4">
        <f t="shared" si="41"/>
        <v>82.166666666666671</v>
      </c>
    </row>
    <row r="104" spans="1:15" x14ac:dyDescent="0.3">
      <c r="A104" s="2">
        <v>5</v>
      </c>
      <c r="B104" s="8" t="s">
        <v>16</v>
      </c>
      <c r="C104" s="4">
        <v>80</v>
      </c>
      <c r="D104" s="4">
        <v>81</v>
      </c>
      <c r="E104" s="4">
        <v>81</v>
      </c>
      <c r="F104" s="5"/>
      <c r="G104" s="6">
        <f t="shared" si="36"/>
        <v>242</v>
      </c>
      <c r="H104" s="4">
        <f t="shared" si="37"/>
        <v>80.666666666666671</v>
      </c>
      <c r="I104" s="4">
        <f t="shared" si="38"/>
        <v>20.166666666666668</v>
      </c>
      <c r="J104" s="5"/>
      <c r="K104" s="4">
        <v>81</v>
      </c>
      <c r="L104" s="4">
        <f t="shared" si="39"/>
        <v>243</v>
      </c>
      <c r="M104" s="4">
        <f t="shared" si="40"/>
        <v>60.75</v>
      </c>
      <c r="N104" s="4">
        <f t="shared" si="41"/>
        <v>80.916666666666671</v>
      </c>
    </row>
    <row r="105" spans="1:15" x14ac:dyDescent="0.3">
      <c r="A105" s="2">
        <v>6</v>
      </c>
      <c r="B105" s="8" t="s">
        <v>17</v>
      </c>
      <c r="C105" s="4">
        <v>65</v>
      </c>
      <c r="D105" s="4">
        <v>68</v>
      </c>
      <c r="E105" s="4">
        <v>69</v>
      </c>
      <c r="F105" s="5"/>
      <c r="G105" s="6">
        <f t="shared" si="36"/>
        <v>202</v>
      </c>
      <c r="H105" s="4">
        <f t="shared" si="37"/>
        <v>67.333333333333329</v>
      </c>
      <c r="I105" s="4">
        <f t="shared" si="38"/>
        <v>16.833333333333332</v>
      </c>
      <c r="J105" s="5"/>
      <c r="K105" s="4">
        <v>65</v>
      </c>
      <c r="L105" s="4">
        <f t="shared" si="39"/>
        <v>195</v>
      </c>
      <c r="M105" s="4">
        <f t="shared" si="40"/>
        <v>48.75</v>
      </c>
      <c r="N105" s="4">
        <f t="shared" si="41"/>
        <v>65.583333333333329</v>
      </c>
    </row>
    <row r="106" spans="1:15" x14ac:dyDescent="0.3">
      <c r="A106" s="2">
        <v>7</v>
      </c>
      <c r="B106" s="8" t="s">
        <v>14</v>
      </c>
      <c r="C106" s="4">
        <v>75</v>
      </c>
      <c r="D106" s="4">
        <v>77</v>
      </c>
      <c r="E106" s="4">
        <v>74</v>
      </c>
      <c r="F106" s="5"/>
      <c r="G106" s="6">
        <f t="shared" si="36"/>
        <v>226</v>
      </c>
      <c r="H106" s="4">
        <f t="shared" si="37"/>
        <v>75.333333333333329</v>
      </c>
      <c r="I106" s="4">
        <f t="shared" si="38"/>
        <v>18.833333333333332</v>
      </c>
      <c r="J106" s="5"/>
      <c r="K106" s="4">
        <v>75</v>
      </c>
      <c r="L106" s="4">
        <f t="shared" si="39"/>
        <v>225</v>
      </c>
      <c r="M106" s="4">
        <f t="shared" si="40"/>
        <v>56.25</v>
      </c>
      <c r="N106" s="4">
        <f t="shared" si="41"/>
        <v>75.083333333333329</v>
      </c>
    </row>
    <row r="107" spans="1:15" x14ac:dyDescent="0.3">
      <c r="A107" s="2">
        <v>8</v>
      </c>
      <c r="B107" s="8" t="s">
        <v>12</v>
      </c>
      <c r="C107" s="4">
        <v>90</v>
      </c>
      <c r="D107" s="4">
        <v>93</v>
      </c>
      <c r="E107" s="4">
        <v>92</v>
      </c>
      <c r="F107" s="5"/>
      <c r="G107" s="6">
        <f t="shared" si="36"/>
        <v>275</v>
      </c>
      <c r="H107" s="4">
        <f t="shared" si="37"/>
        <v>91.666666666666671</v>
      </c>
      <c r="I107" s="4">
        <f t="shared" si="38"/>
        <v>22.916666666666668</v>
      </c>
      <c r="J107" s="5"/>
      <c r="K107" s="4">
        <v>90</v>
      </c>
      <c r="L107" s="4">
        <f t="shared" si="39"/>
        <v>270</v>
      </c>
      <c r="M107" s="4">
        <f t="shared" si="40"/>
        <v>67.5</v>
      </c>
      <c r="N107" s="4">
        <f t="shared" si="41"/>
        <v>90.416666666666671</v>
      </c>
    </row>
    <row r="110" spans="1:15" x14ac:dyDescent="0.3">
      <c r="A110" s="63" t="s">
        <v>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1:15" x14ac:dyDescent="0.3">
      <c r="A111" s="63" t="s">
        <v>1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1:15" x14ac:dyDescent="0.3">
      <c r="A112" s="63" t="s">
        <v>2</v>
      </c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1:15" x14ac:dyDescent="0.3">
      <c r="B113" s="64" t="s">
        <v>25</v>
      </c>
      <c r="C113" s="64"/>
      <c r="D113" s="64"/>
    </row>
    <row r="114" spans="1:15" x14ac:dyDescent="0.3">
      <c r="C114" s="1" t="s">
        <v>4</v>
      </c>
      <c r="D114" s="1" t="s">
        <v>5</v>
      </c>
      <c r="E114" s="1" t="s">
        <v>6</v>
      </c>
      <c r="F114" s="1"/>
      <c r="G114" s="1" t="s">
        <v>7</v>
      </c>
      <c r="H114" s="1" t="s">
        <v>8</v>
      </c>
      <c r="I114" s="3">
        <v>0.25</v>
      </c>
      <c r="J114" s="1"/>
      <c r="K114" s="1" t="s">
        <v>9</v>
      </c>
      <c r="L114" s="1"/>
      <c r="M114" s="3">
        <v>0.75</v>
      </c>
      <c r="N114" s="1" t="s">
        <v>10</v>
      </c>
    </row>
    <row r="115" spans="1:15" x14ac:dyDescent="0.3">
      <c r="A115" s="2">
        <v>1</v>
      </c>
      <c r="B115" s="1" t="s">
        <v>11</v>
      </c>
      <c r="C115" s="4">
        <v>87</v>
      </c>
      <c r="D115" s="4">
        <v>91</v>
      </c>
      <c r="E115" s="4">
        <v>88</v>
      </c>
      <c r="F115" s="5"/>
      <c r="G115" s="6">
        <f>SUM(C115:E115)</f>
        <v>266</v>
      </c>
      <c r="H115" s="4">
        <f>AVERAGE(C115:E115)</f>
        <v>88.666666666666671</v>
      </c>
      <c r="I115" s="4">
        <f>G115/12</f>
        <v>22.166666666666668</v>
      </c>
      <c r="J115" s="5"/>
      <c r="K115" s="4">
        <v>90</v>
      </c>
      <c r="L115" s="4">
        <f>K115*3</f>
        <v>270</v>
      </c>
      <c r="M115" s="4">
        <f>L115/4</f>
        <v>67.5</v>
      </c>
      <c r="N115" s="4">
        <f>M115+I115</f>
        <v>89.666666666666671</v>
      </c>
    </row>
    <row r="116" spans="1:15" x14ac:dyDescent="0.3">
      <c r="A116" s="2">
        <v>2</v>
      </c>
      <c r="B116" s="8" t="s">
        <v>18</v>
      </c>
      <c r="C116" s="4">
        <v>69</v>
      </c>
      <c r="D116" s="4">
        <v>71</v>
      </c>
      <c r="E116" s="4">
        <v>75</v>
      </c>
      <c r="F116" s="5"/>
      <c r="G116" s="6">
        <f t="shared" ref="G116:G122" si="42">SUM(C116:E116)</f>
        <v>215</v>
      </c>
      <c r="H116" s="4">
        <f t="shared" ref="H116:H122" si="43">AVERAGE(C116:E116)</f>
        <v>71.666666666666671</v>
      </c>
      <c r="I116" s="4">
        <f t="shared" ref="I116:I122" si="44">G116/12</f>
        <v>17.916666666666668</v>
      </c>
      <c r="J116" s="5"/>
      <c r="K116" s="4">
        <v>72</v>
      </c>
      <c r="L116" s="4">
        <f t="shared" ref="L116:L122" si="45">K116*3</f>
        <v>216</v>
      </c>
      <c r="M116" s="4">
        <f t="shared" ref="M116:M122" si="46">L116/4</f>
        <v>54</v>
      </c>
      <c r="N116" s="4">
        <f t="shared" ref="N116:N122" si="47">M116+I116</f>
        <v>71.916666666666671</v>
      </c>
    </row>
    <row r="117" spans="1:15" x14ac:dyDescent="0.3">
      <c r="A117" s="2">
        <v>3</v>
      </c>
      <c r="B117" s="8" t="s">
        <v>15</v>
      </c>
      <c r="C117" s="4">
        <v>78</v>
      </c>
      <c r="D117" s="4">
        <v>82</v>
      </c>
      <c r="E117" s="4">
        <v>81</v>
      </c>
      <c r="F117" s="5"/>
      <c r="G117" s="6">
        <f t="shared" si="42"/>
        <v>241</v>
      </c>
      <c r="H117" s="4">
        <f t="shared" si="43"/>
        <v>80.333333333333329</v>
      </c>
      <c r="I117" s="4">
        <f t="shared" si="44"/>
        <v>20.083333333333332</v>
      </c>
      <c r="J117" s="5"/>
      <c r="K117" s="4">
        <v>81</v>
      </c>
      <c r="L117" s="4">
        <f t="shared" si="45"/>
        <v>243</v>
      </c>
      <c r="M117" s="4">
        <f t="shared" si="46"/>
        <v>60.75</v>
      </c>
      <c r="N117" s="4">
        <f t="shared" si="47"/>
        <v>80.833333333333329</v>
      </c>
    </row>
    <row r="118" spans="1:15" x14ac:dyDescent="0.3">
      <c r="A118" s="2">
        <v>4</v>
      </c>
      <c r="B118" s="8" t="s">
        <v>13</v>
      </c>
      <c r="C118" s="4">
        <v>84</v>
      </c>
      <c r="D118" s="4">
        <v>84</v>
      </c>
      <c r="E118" s="4">
        <v>85</v>
      </c>
      <c r="F118" s="5"/>
      <c r="G118" s="6">
        <f t="shared" si="42"/>
        <v>253</v>
      </c>
      <c r="H118" s="4">
        <f t="shared" si="43"/>
        <v>84.333333333333329</v>
      </c>
      <c r="I118" s="4">
        <f t="shared" si="44"/>
        <v>21.083333333333332</v>
      </c>
      <c r="J118" s="5"/>
      <c r="K118" s="4">
        <v>82</v>
      </c>
      <c r="L118" s="4">
        <f t="shared" si="45"/>
        <v>246</v>
      </c>
      <c r="M118" s="4">
        <f t="shared" si="46"/>
        <v>61.5</v>
      </c>
      <c r="N118" s="4">
        <f t="shared" si="47"/>
        <v>82.583333333333329</v>
      </c>
    </row>
    <row r="119" spans="1:15" x14ac:dyDescent="0.3">
      <c r="A119" s="2">
        <v>5</v>
      </c>
      <c r="B119" s="8" t="s">
        <v>16</v>
      </c>
      <c r="C119" s="4">
        <v>74</v>
      </c>
      <c r="D119" s="4">
        <v>70</v>
      </c>
      <c r="E119" s="4">
        <v>72</v>
      </c>
      <c r="F119" s="5"/>
      <c r="G119" s="6">
        <f t="shared" si="42"/>
        <v>216</v>
      </c>
      <c r="H119" s="4">
        <f t="shared" si="43"/>
        <v>72</v>
      </c>
      <c r="I119" s="4">
        <f t="shared" si="44"/>
        <v>18</v>
      </c>
      <c r="J119" s="5"/>
      <c r="K119" s="4">
        <v>71</v>
      </c>
      <c r="L119" s="4">
        <f t="shared" si="45"/>
        <v>213</v>
      </c>
      <c r="M119" s="4">
        <f t="shared" si="46"/>
        <v>53.25</v>
      </c>
      <c r="N119" s="4">
        <f t="shared" si="47"/>
        <v>71.25</v>
      </c>
    </row>
    <row r="120" spans="1:15" x14ac:dyDescent="0.3">
      <c r="A120" s="2">
        <v>6</v>
      </c>
      <c r="B120" s="8" t="s">
        <v>17</v>
      </c>
      <c r="C120" s="4">
        <v>69</v>
      </c>
      <c r="D120" s="4">
        <v>69</v>
      </c>
      <c r="E120" s="4">
        <v>72</v>
      </c>
      <c r="F120" s="5"/>
      <c r="G120" s="6">
        <f t="shared" si="42"/>
        <v>210</v>
      </c>
      <c r="H120" s="4">
        <f t="shared" si="43"/>
        <v>70</v>
      </c>
      <c r="I120" s="4">
        <f t="shared" si="44"/>
        <v>17.5</v>
      </c>
      <c r="J120" s="5"/>
      <c r="K120" s="4">
        <v>77</v>
      </c>
      <c r="L120" s="4">
        <f t="shared" si="45"/>
        <v>231</v>
      </c>
      <c r="M120" s="4">
        <f t="shared" si="46"/>
        <v>57.75</v>
      </c>
      <c r="N120" s="4">
        <f t="shared" si="47"/>
        <v>75.25</v>
      </c>
    </row>
    <row r="121" spans="1:15" x14ac:dyDescent="0.3">
      <c r="A121" s="2">
        <v>7</v>
      </c>
      <c r="B121" s="8" t="s">
        <v>14</v>
      </c>
      <c r="C121" s="4">
        <v>80</v>
      </c>
      <c r="D121" s="4">
        <v>81</v>
      </c>
      <c r="E121" s="4">
        <v>79</v>
      </c>
      <c r="F121" s="5"/>
      <c r="G121" s="6">
        <f t="shared" si="42"/>
        <v>240</v>
      </c>
      <c r="H121" s="4">
        <f t="shared" si="43"/>
        <v>80</v>
      </c>
      <c r="I121" s="4">
        <f t="shared" si="44"/>
        <v>20</v>
      </c>
      <c r="J121" s="5"/>
      <c r="K121" s="4">
        <v>81</v>
      </c>
      <c r="L121" s="4">
        <f t="shared" si="45"/>
        <v>243</v>
      </c>
      <c r="M121" s="4">
        <f t="shared" si="46"/>
        <v>60.75</v>
      </c>
      <c r="N121" s="4">
        <f t="shared" si="47"/>
        <v>80.75</v>
      </c>
    </row>
    <row r="122" spans="1:15" x14ac:dyDescent="0.3">
      <c r="A122" s="2">
        <v>8</v>
      </c>
      <c r="B122" s="8" t="s">
        <v>12</v>
      </c>
      <c r="C122" s="4">
        <v>85</v>
      </c>
      <c r="D122" s="4">
        <v>86</v>
      </c>
      <c r="E122" s="4">
        <v>86</v>
      </c>
      <c r="F122" s="5"/>
      <c r="G122" s="6">
        <f t="shared" si="42"/>
        <v>257</v>
      </c>
      <c r="H122" s="4">
        <f t="shared" si="43"/>
        <v>85.666666666666671</v>
      </c>
      <c r="I122" s="4">
        <f t="shared" si="44"/>
        <v>21.416666666666668</v>
      </c>
      <c r="J122" s="5"/>
      <c r="K122" s="4">
        <v>87</v>
      </c>
      <c r="L122" s="4">
        <f t="shared" si="45"/>
        <v>261</v>
      </c>
      <c r="M122" s="4">
        <f t="shared" si="46"/>
        <v>65.25</v>
      </c>
      <c r="N122" s="4">
        <f t="shared" si="47"/>
        <v>86.666666666666671</v>
      </c>
    </row>
    <row r="125" spans="1:15" x14ac:dyDescent="0.3">
      <c r="A125" s="63" t="s">
        <v>0</v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1:15" x14ac:dyDescent="0.3">
      <c r="A126" s="63" t="s">
        <v>1</v>
      </c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1:15" x14ac:dyDescent="0.3">
      <c r="A127" s="63" t="s">
        <v>2</v>
      </c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1:15" x14ac:dyDescent="0.3">
      <c r="B128" s="64" t="s">
        <v>26</v>
      </c>
      <c r="C128" s="64"/>
      <c r="D128" s="64"/>
    </row>
    <row r="129" spans="1:14" x14ac:dyDescent="0.3">
      <c r="C129" s="1" t="s">
        <v>4</v>
      </c>
      <c r="D129" s="1" t="s">
        <v>5</v>
      </c>
      <c r="E129" s="1" t="s">
        <v>6</v>
      </c>
      <c r="F129" s="1"/>
      <c r="G129" s="1" t="s">
        <v>7</v>
      </c>
      <c r="H129" s="1" t="s">
        <v>8</v>
      </c>
      <c r="I129" s="3">
        <v>0.25</v>
      </c>
      <c r="J129" s="1"/>
      <c r="K129" s="1" t="s">
        <v>9</v>
      </c>
      <c r="L129" s="1"/>
      <c r="M129" s="3">
        <v>0.75</v>
      </c>
      <c r="N129" s="1" t="s">
        <v>10</v>
      </c>
    </row>
    <row r="130" spans="1:14" x14ac:dyDescent="0.3">
      <c r="A130" s="2">
        <v>1</v>
      </c>
      <c r="B130" s="1" t="s">
        <v>11</v>
      </c>
      <c r="C130" s="4">
        <v>92</v>
      </c>
      <c r="D130" s="4">
        <v>88</v>
      </c>
      <c r="E130" s="4">
        <v>86</v>
      </c>
      <c r="F130" s="5"/>
      <c r="G130" s="6">
        <f>SUM(C130:E130)</f>
        <v>266</v>
      </c>
      <c r="H130" s="4">
        <f>AVERAGE(C130:E130)</f>
        <v>88.666666666666671</v>
      </c>
      <c r="I130" s="4">
        <f>G130/12</f>
        <v>22.166666666666668</v>
      </c>
      <c r="J130" s="5"/>
      <c r="K130" s="4">
        <v>91</v>
      </c>
      <c r="L130" s="4">
        <f>K130*3</f>
        <v>273</v>
      </c>
      <c r="M130" s="4">
        <f>L130/4</f>
        <v>68.25</v>
      </c>
      <c r="N130" s="4">
        <f>M130+I130</f>
        <v>90.416666666666671</v>
      </c>
    </row>
    <row r="131" spans="1:14" x14ac:dyDescent="0.3">
      <c r="A131" s="2">
        <v>2</v>
      </c>
      <c r="B131" s="8" t="s">
        <v>18</v>
      </c>
      <c r="C131" s="4">
        <v>71</v>
      </c>
      <c r="D131" s="4">
        <v>69</v>
      </c>
      <c r="E131" s="4">
        <v>65</v>
      </c>
      <c r="F131" s="5"/>
      <c r="G131" s="6">
        <f t="shared" ref="G131:G137" si="48">SUM(C131:E131)</f>
        <v>205</v>
      </c>
      <c r="H131" s="4">
        <f t="shared" ref="H131:H137" si="49">AVERAGE(C131:E131)</f>
        <v>68.333333333333329</v>
      </c>
      <c r="I131" s="4">
        <f t="shared" ref="I131:I137" si="50">G131/12</f>
        <v>17.083333333333332</v>
      </c>
      <c r="J131" s="5"/>
      <c r="K131" s="4">
        <v>70</v>
      </c>
      <c r="L131" s="4">
        <f t="shared" ref="L131:L137" si="51">K131*3</f>
        <v>210</v>
      </c>
      <c r="M131" s="4">
        <f t="shared" ref="M131:M137" si="52">L131/4</f>
        <v>52.5</v>
      </c>
      <c r="N131" s="4">
        <f t="shared" ref="N131:N137" si="53">M131+I131</f>
        <v>69.583333333333329</v>
      </c>
    </row>
    <row r="132" spans="1:14" x14ac:dyDescent="0.3">
      <c r="A132" s="2">
        <v>3</v>
      </c>
      <c r="B132" s="8" t="s">
        <v>15</v>
      </c>
      <c r="C132" s="4">
        <v>82</v>
      </c>
      <c r="D132" s="4">
        <v>78</v>
      </c>
      <c r="E132" s="4">
        <v>75</v>
      </c>
      <c r="F132" s="5"/>
      <c r="G132" s="6">
        <f t="shared" si="48"/>
        <v>235</v>
      </c>
      <c r="H132" s="4">
        <f t="shared" si="49"/>
        <v>78.333333333333329</v>
      </c>
      <c r="I132" s="4">
        <f t="shared" si="50"/>
        <v>19.583333333333332</v>
      </c>
      <c r="J132" s="5"/>
      <c r="K132" s="4">
        <v>83</v>
      </c>
      <c r="L132" s="4">
        <f t="shared" si="51"/>
        <v>249</v>
      </c>
      <c r="M132" s="4">
        <f t="shared" si="52"/>
        <v>62.25</v>
      </c>
      <c r="N132" s="4">
        <f t="shared" si="53"/>
        <v>81.833333333333329</v>
      </c>
    </row>
    <row r="133" spans="1:14" x14ac:dyDescent="0.3">
      <c r="A133" s="2">
        <v>4</v>
      </c>
      <c r="B133" s="8" t="s">
        <v>13</v>
      </c>
      <c r="C133" s="4">
        <v>90</v>
      </c>
      <c r="D133" s="4">
        <v>89</v>
      </c>
      <c r="E133" s="4">
        <v>88</v>
      </c>
      <c r="F133" s="5"/>
      <c r="G133" s="6">
        <f t="shared" si="48"/>
        <v>267</v>
      </c>
      <c r="H133" s="4">
        <f t="shared" si="49"/>
        <v>89</v>
      </c>
      <c r="I133" s="4">
        <f t="shared" si="50"/>
        <v>22.25</v>
      </c>
      <c r="J133" s="5"/>
      <c r="K133" s="4">
        <v>92</v>
      </c>
      <c r="L133" s="4">
        <f t="shared" si="51"/>
        <v>276</v>
      </c>
      <c r="M133" s="4">
        <f t="shared" si="52"/>
        <v>69</v>
      </c>
      <c r="N133" s="4">
        <f t="shared" si="53"/>
        <v>91.25</v>
      </c>
    </row>
    <row r="134" spans="1:14" x14ac:dyDescent="0.3">
      <c r="A134" s="2">
        <v>5</v>
      </c>
      <c r="B134" s="8" t="s">
        <v>16</v>
      </c>
      <c r="C134" s="4">
        <v>84</v>
      </c>
      <c r="D134" s="4">
        <v>74</v>
      </c>
      <c r="E134" s="4">
        <v>68</v>
      </c>
      <c r="F134" s="5"/>
      <c r="G134" s="6">
        <f t="shared" si="48"/>
        <v>226</v>
      </c>
      <c r="H134" s="4">
        <f t="shared" si="49"/>
        <v>75.333333333333329</v>
      </c>
      <c r="I134" s="4">
        <f t="shared" si="50"/>
        <v>18.833333333333332</v>
      </c>
      <c r="J134" s="5"/>
      <c r="K134" s="4">
        <v>74</v>
      </c>
      <c r="L134" s="4">
        <f t="shared" si="51"/>
        <v>222</v>
      </c>
      <c r="M134" s="4">
        <f t="shared" si="52"/>
        <v>55.5</v>
      </c>
      <c r="N134" s="4">
        <f t="shared" si="53"/>
        <v>74.333333333333329</v>
      </c>
    </row>
    <row r="135" spans="1:14" x14ac:dyDescent="0.3">
      <c r="A135" s="2">
        <v>6</v>
      </c>
      <c r="B135" s="8" t="s">
        <v>17</v>
      </c>
      <c r="C135" s="4">
        <v>77</v>
      </c>
      <c r="D135" s="4">
        <v>62</v>
      </c>
      <c r="E135" s="4">
        <v>72</v>
      </c>
      <c r="F135" s="5"/>
      <c r="G135" s="6">
        <f t="shared" si="48"/>
        <v>211</v>
      </c>
      <c r="H135" s="4">
        <f t="shared" si="49"/>
        <v>70.333333333333329</v>
      </c>
      <c r="I135" s="4">
        <f t="shared" si="50"/>
        <v>17.583333333333332</v>
      </c>
      <c r="J135" s="5"/>
      <c r="K135" s="4">
        <v>74</v>
      </c>
      <c r="L135" s="4">
        <f t="shared" si="51"/>
        <v>222</v>
      </c>
      <c r="M135" s="4">
        <f t="shared" si="52"/>
        <v>55.5</v>
      </c>
      <c r="N135" s="4">
        <f t="shared" si="53"/>
        <v>73.083333333333329</v>
      </c>
    </row>
    <row r="136" spans="1:14" x14ac:dyDescent="0.3">
      <c r="A136" s="2">
        <v>7</v>
      </c>
      <c r="B136" s="8" t="s">
        <v>14</v>
      </c>
      <c r="C136" s="4">
        <v>83</v>
      </c>
      <c r="D136" s="4">
        <v>83</v>
      </c>
      <c r="E136" s="4">
        <v>83</v>
      </c>
      <c r="F136" s="5"/>
      <c r="G136" s="6">
        <f t="shared" si="48"/>
        <v>249</v>
      </c>
      <c r="H136" s="4">
        <f t="shared" si="49"/>
        <v>83</v>
      </c>
      <c r="I136" s="4">
        <f t="shared" si="50"/>
        <v>20.75</v>
      </c>
      <c r="J136" s="5"/>
      <c r="K136" s="4">
        <v>85</v>
      </c>
      <c r="L136" s="4">
        <f t="shared" si="51"/>
        <v>255</v>
      </c>
      <c r="M136" s="4">
        <f t="shared" si="52"/>
        <v>63.75</v>
      </c>
      <c r="N136" s="4">
        <f t="shared" si="53"/>
        <v>84.5</v>
      </c>
    </row>
    <row r="137" spans="1:14" x14ac:dyDescent="0.3">
      <c r="A137" s="2">
        <v>8</v>
      </c>
      <c r="B137" s="8" t="s">
        <v>12</v>
      </c>
      <c r="C137" s="4">
        <v>96</v>
      </c>
      <c r="D137" s="4">
        <v>94</v>
      </c>
      <c r="E137" s="4">
        <v>91</v>
      </c>
      <c r="F137" s="5"/>
      <c r="G137" s="6">
        <f t="shared" si="48"/>
        <v>281</v>
      </c>
      <c r="H137" s="4">
        <f t="shared" si="49"/>
        <v>93.666666666666671</v>
      </c>
      <c r="I137" s="4">
        <f t="shared" si="50"/>
        <v>23.416666666666668</v>
      </c>
      <c r="J137" s="5"/>
      <c r="K137" s="4">
        <v>97</v>
      </c>
      <c r="L137" s="4">
        <f t="shared" si="51"/>
        <v>291</v>
      </c>
      <c r="M137" s="4">
        <f t="shared" si="52"/>
        <v>72.75</v>
      </c>
      <c r="N137" s="4">
        <f t="shared" si="53"/>
        <v>96.166666666666671</v>
      </c>
    </row>
  </sheetData>
  <sortState ref="B7:B13">
    <sortCondition ref="B6"/>
  </sortState>
  <mergeCells count="36">
    <mergeCell ref="B128:D128"/>
    <mergeCell ref="A95:O95"/>
    <mergeCell ref="A96:O96"/>
    <mergeCell ref="A97:O97"/>
    <mergeCell ref="B98:D98"/>
    <mergeCell ref="A110:O110"/>
    <mergeCell ref="A111:O111"/>
    <mergeCell ref="A112:O112"/>
    <mergeCell ref="B113:D113"/>
    <mergeCell ref="A125:O125"/>
    <mergeCell ref="A126:O126"/>
    <mergeCell ref="A127:O127"/>
    <mergeCell ref="B81:D81"/>
    <mergeCell ref="A48:O48"/>
    <mergeCell ref="A49:O49"/>
    <mergeCell ref="A50:O50"/>
    <mergeCell ref="B51:D51"/>
    <mergeCell ref="A63:O63"/>
    <mergeCell ref="A64:O64"/>
    <mergeCell ref="A65:O65"/>
    <mergeCell ref="B66:D66"/>
    <mergeCell ref="A78:O78"/>
    <mergeCell ref="A79:O79"/>
    <mergeCell ref="A80:O80"/>
    <mergeCell ref="B34:D34"/>
    <mergeCell ref="A1:O1"/>
    <mergeCell ref="A2:O2"/>
    <mergeCell ref="A3:O3"/>
    <mergeCell ref="B4:D4"/>
    <mergeCell ref="A16:O16"/>
    <mergeCell ref="A17:O17"/>
    <mergeCell ref="A18:O18"/>
    <mergeCell ref="B19:D19"/>
    <mergeCell ref="A31:O31"/>
    <mergeCell ref="A32:O32"/>
    <mergeCell ref="A33:O33"/>
  </mergeCells>
  <printOptions gridLines="1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358"/>
  <sheetViews>
    <sheetView topLeftCell="A336" workbookViewId="0">
      <selection activeCell="K360" sqref="K360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82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7" t="s">
        <v>89</v>
      </c>
      <c r="C6" s="4">
        <v>28</v>
      </c>
      <c r="D6" s="4">
        <v>22</v>
      </c>
      <c r="E6" s="4">
        <v>22</v>
      </c>
      <c r="F6" s="5"/>
      <c r="G6" s="6">
        <f>SUM(C6:E6)</f>
        <v>72</v>
      </c>
      <c r="H6" s="4">
        <f>AVERAGE(C6:E6)</f>
        <v>24</v>
      </c>
      <c r="I6" s="4">
        <f>G6/12</f>
        <v>6</v>
      </c>
      <c r="J6" s="5"/>
      <c r="K6" s="4">
        <v>39</v>
      </c>
      <c r="L6" s="4">
        <f>K6*3</f>
        <v>117</v>
      </c>
      <c r="M6" s="4">
        <f>L6/4</f>
        <v>29.25</v>
      </c>
      <c r="N6" s="4">
        <f>M6+I6</f>
        <v>35.25</v>
      </c>
    </row>
    <row r="7" spans="1:15" x14ac:dyDescent="0.3">
      <c r="A7" s="2">
        <v>2</v>
      </c>
      <c r="B7" s="7" t="s">
        <v>94</v>
      </c>
      <c r="C7" s="4">
        <v>33</v>
      </c>
      <c r="D7" s="4">
        <v>30</v>
      </c>
      <c r="E7" s="4">
        <v>32</v>
      </c>
      <c r="F7" s="5"/>
      <c r="G7" s="6">
        <f t="shared" ref="G7:G21" si="0">SUM(C7:E7)</f>
        <v>95</v>
      </c>
      <c r="H7" s="4">
        <f t="shared" ref="H7:H21" si="1">AVERAGE(C7:E7)</f>
        <v>31.666666666666668</v>
      </c>
      <c r="I7" s="4">
        <f t="shared" ref="I7:I21" si="2">G7/12</f>
        <v>7.916666666666667</v>
      </c>
      <c r="J7" s="5"/>
      <c r="K7" s="4">
        <v>42</v>
      </c>
      <c r="L7" s="4">
        <f t="shared" ref="L7:L29" si="3">K7*3</f>
        <v>126</v>
      </c>
      <c r="M7" s="4">
        <f t="shared" ref="M7:M29" si="4">L7/4</f>
        <v>31.5</v>
      </c>
      <c r="N7" s="4">
        <f t="shared" ref="N7:N29" si="5">M7+I7</f>
        <v>39.416666666666664</v>
      </c>
    </row>
    <row r="8" spans="1:15" x14ac:dyDescent="0.3">
      <c r="A8" s="2">
        <v>3</v>
      </c>
      <c r="B8" s="7" t="s">
        <v>97</v>
      </c>
      <c r="C8" s="4">
        <v>25</v>
      </c>
      <c r="D8" s="4">
        <v>32</v>
      </c>
      <c r="E8" s="4">
        <v>39</v>
      </c>
      <c r="F8" s="5"/>
      <c r="G8" s="6">
        <f t="shared" si="0"/>
        <v>96</v>
      </c>
      <c r="H8" s="4">
        <f t="shared" si="1"/>
        <v>32</v>
      </c>
      <c r="I8" s="4">
        <f t="shared" si="2"/>
        <v>8</v>
      </c>
      <c r="J8" s="5"/>
      <c r="K8" s="4">
        <v>22</v>
      </c>
      <c r="L8" s="4">
        <f t="shared" si="3"/>
        <v>66</v>
      </c>
      <c r="M8" s="4">
        <f t="shared" si="4"/>
        <v>16.5</v>
      </c>
      <c r="N8" s="4">
        <f t="shared" si="5"/>
        <v>24.5</v>
      </c>
    </row>
    <row r="9" spans="1:15" x14ac:dyDescent="0.3">
      <c r="A9" s="2">
        <v>4</v>
      </c>
      <c r="B9" s="7" t="s">
        <v>103</v>
      </c>
      <c r="C9" s="4">
        <v>38</v>
      </c>
      <c r="D9" s="4">
        <v>34</v>
      </c>
      <c r="E9" s="4">
        <v>28</v>
      </c>
      <c r="F9" s="5"/>
      <c r="G9" s="6">
        <f t="shared" si="0"/>
        <v>100</v>
      </c>
      <c r="H9" s="4">
        <f t="shared" si="1"/>
        <v>33.333333333333336</v>
      </c>
      <c r="I9" s="4">
        <f t="shared" si="2"/>
        <v>8.3333333333333339</v>
      </c>
      <c r="J9" s="5"/>
      <c r="K9" s="4">
        <v>39</v>
      </c>
      <c r="L9" s="4">
        <f t="shared" si="3"/>
        <v>117</v>
      </c>
      <c r="M9" s="4">
        <f t="shared" si="4"/>
        <v>29.25</v>
      </c>
      <c r="N9" s="4">
        <f t="shared" si="5"/>
        <v>37.583333333333336</v>
      </c>
    </row>
    <row r="10" spans="1:15" x14ac:dyDescent="0.3">
      <c r="A10" s="2">
        <v>5</v>
      </c>
      <c r="B10" s="7" t="s">
        <v>88</v>
      </c>
      <c r="C10" s="4">
        <v>80</v>
      </c>
      <c r="D10" s="4">
        <v>77</v>
      </c>
      <c r="E10" s="4">
        <v>72</v>
      </c>
      <c r="F10" s="5"/>
      <c r="G10" s="6">
        <f t="shared" si="0"/>
        <v>229</v>
      </c>
      <c r="H10" s="4">
        <f t="shared" si="1"/>
        <v>76.333333333333329</v>
      </c>
      <c r="I10" s="4">
        <f t="shared" si="2"/>
        <v>19.083333333333332</v>
      </c>
      <c r="J10" s="5"/>
      <c r="K10" s="4">
        <v>75</v>
      </c>
      <c r="L10" s="4">
        <f t="shared" si="3"/>
        <v>225</v>
      </c>
      <c r="M10" s="4">
        <f t="shared" si="4"/>
        <v>56.25</v>
      </c>
      <c r="N10" s="4">
        <f t="shared" si="5"/>
        <v>75.333333333333329</v>
      </c>
    </row>
    <row r="11" spans="1:15" x14ac:dyDescent="0.3">
      <c r="A11" s="2">
        <v>6</v>
      </c>
      <c r="B11" s="7" t="s">
        <v>93</v>
      </c>
      <c r="C11" s="4">
        <v>81</v>
      </c>
      <c r="D11" s="4">
        <v>83</v>
      </c>
      <c r="E11" s="4">
        <v>81</v>
      </c>
      <c r="F11" s="5"/>
      <c r="G11" s="6">
        <f t="shared" si="0"/>
        <v>245</v>
      </c>
      <c r="H11" s="4">
        <f t="shared" si="1"/>
        <v>81.666666666666671</v>
      </c>
      <c r="I11" s="4">
        <f t="shared" si="2"/>
        <v>20.416666666666668</v>
      </c>
      <c r="J11" s="5"/>
      <c r="K11" s="4">
        <v>80</v>
      </c>
      <c r="L11" s="4">
        <f t="shared" si="3"/>
        <v>240</v>
      </c>
      <c r="M11" s="4">
        <f t="shared" si="4"/>
        <v>60</v>
      </c>
      <c r="N11" s="4">
        <f t="shared" si="5"/>
        <v>80.416666666666671</v>
      </c>
    </row>
    <row r="12" spans="1:15" x14ac:dyDescent="0.3">
      <c r="A12" s="2">
        <v>7</v>
      </c>
      <c r="B12" s="7" t="s">
        <v>87</v>
      </c>
      <c r="C12" s="4">
        <v>65</v>
      </c>
      <c r="D12" s="4">
        <v>40</v>
      </c>
      <c r="E12" s="4">
        <v>44</v>
      </c>
      <c r="F12" s="5"/>
      <c r="G12" s="6">
        <f t="shared" si="0"/>
        <v>149</v>
      </c>
      <c r="H12" s="4">
        <f t="shared" si="1"/>
        <v>49.666666666666664</v>
      </c>
      <c r="I12" s="4">
        <f t="shared" si="2"/>
        <v>12.416666666666666</v>
      </c>
      <c r="J12" s="5"/>
      <c r="K12" s="4">
        <v>54</v>
      </c>
      <c r="L12" s="4">
        <f t="shared" si="3"/>
        <v>162</v>
      </c>
      <c r="M12" s="4">
        <f t="shared" si="4"/>
        <v>40.5</v>
      </c>
      <c r="N12" s="4">
        <f t="shared" si="5"/>
        <v>52.916666666666664</v>
      </c>
    </row>
    <row r="13" spans="1:15" x14ac:dyDescent="0.3">
      <c r="A13" s="2">
        <v>8</v>
      </c>
      <c r="B13" s="7" t="s">
        <v>86</v>
      </c>
      <c r="C13" s="4">
        <v>77</v>
      </c>
      <c r="D13" s="4">
        <v>75</v>
      </c>
      <c r="E13" s="4">
        <v>76</v>
      </c>
      <c r="F13" s="5"/>
      <c r="G13" s="6">
        <f t="shared" si="0"/>
        <v>228</v>
      </c>
      <c r="H13" s="4">
        <f t="shared" si="1"/>
        <v>76</v>
      </c>
      <c r="I13" s="4">
        <f t="shared" si="2"/>
        <v>19</v>
      </c>
      <c r="J13" s="5"/>
      <c r="K13" s="4">
        <v>73</v>
      </c>
      <c r="L13" s="4">
        <f t="shared" si="3"/>
        <v>219</v>
      </c>
      <c r="M13" s="4">
        <f t="shared" si="4"/>
        <v>54.75</v>
      </c>
      <c r="N13" s="4">
        <f t="shared" si="5"/>
        <v>73.75</v>
      </c>
    </row>
    <row r="14" spans="1:15" x14ac:dyDescent="0.3">
      <c r="A14" s="2">
        <v>9</v>
      </c>
      <c r="B14" s="7" t="s">
        <v>85</v>
      </c>
      <c r="C14" s="4">
        <v>52</v>
      </c>
      <c r="D14" s="4">
        <v>39</v>
      </c>
      <c r="E14" s="4">
        <v>51</v>
      </c>
      <c r="F14" s="5"/>
      <c r="G14" s="6">
        <f t="shared" si="0"/>
        <v>142</v>
      </c>
      <c r="H14" s="4">
        <f t="shared" si="1"/>
        <v>47.333333333333336</v>
      </c>
      <c r="I14" s="4">
        <f t="shared" si="2"/>
        <v>11.833333333333334</v>
      </c>
      <c r="J14" s="5"/>
      <c r="K14" s="4">
        <v>42</v>
      </c>
      <c r="L14" s="4">
        <f t="shared" si="3"/>
        <v>126</v>
      </c>
      <c r="M14" s="4">
        <f t="shared" si="4"/>
        <v>31.5</v>
      </c>
      <c r="N14" s="4">
        <f t="shared" si="5"/>
        <v>43.333333333333336</v>
      </c>
    </row>
    <row r="15" spans="1:15" x14ac:dyDescent="0.3">
      <c r="A15" s="2">
        <v>10</v>
      </c>
      <c r="B15" s="7" t="s">
        <v>105</v>
      </c>
      <c r="C15" s="4">
        <v>38</v>
      </c>
      <c r="D15" s="4">
        <v>34</v>
      </c>
      <c r="E15" s="4">
        <v>38</v>
      </c>
      <c r="F15" s="5"/>
      <c r="G15" s="6">
        <f t="shared" si="0"/>
        <v>110</v>
      </c>
      <c r="H15" s="4">
        <f t="shared" si="1"/>
        <v>36.666666666666664</v>
      </c>
      <c r="I15" s="4">
        <f t="shared" si="2"/>
        <v>9.1666666666666661</v>
      </c>
      <c r="J15" s="5"/>
      <c r="K15" s="4">
        <v>39</v>
      </c>
      <c r="L15" s="4">
        <f t="shared" si="3"/>
        <v>117</v>
      </c>
      <c r="M15" s="4">
        <f t="shared" si="4"/>
        <v>29.25</v>
      </c>
      <c r="N15" s="4">
        <f t="shared" si="5"/>
        <v>38.416666666666664</v>
      </c>
    </row>
    <row r="16" spans="1:15" x14ac:dyDescent="0.3">
      <c r="A16" s="2">
        <v>11</v>
      </c>
      <c r="B16" s="7" t="s">
        <v>99</v>
      </c>
      <c r="C16" s="4">
        <v>42</v>
      </c>
      <c r="D16" s="4">
        <v>40</v>
      </c>
      <c r="E16" s="4">
        <v>41</v>
      </c>
      <c r="F16" s="5"/>
      <c r="G16" s="6">
        <f t="shared" si="0"/>
        <v>123</v>
      </c>
      <c r="H16" s="4">
        <f t="shared" si="1"/>
        <v>41</v>
      </c>
      <c r="I16" s="4">
        <f t="shared" si="2"/>
        <v>10.25</v>
      </c>
      <c r="J16" s="5"/>
      <c r="K16" s="4">
        <v>42</v>
      </c>
      <c r="L16" s="4">
        <f t="shared" si="3"/>
        <v>126</v>
      </c>
      <c r="M16" s="4">
        <f t="shared" si="4"/>
        <v>31.5</v>
      </c>
      <c r="N16" s="4">
        <f t="shared" si="5"/>
        <v>41.75</v>
      </c>
    </row>
    <row r="17" spans="1:14" x14ac:dyDescent="0.3">
      <c r="A17" s="2">
        <v>12</v>
      </c>
      <c r="B17" s="7" t="s">
        <v>104</v>
      </c>
      <c r="C17" s="4">
        <v>33</v>
      </c>
      <c r="D17" s="4">
        <v>32</v>
      </c>
      <c r="E17" s="4">
        <v>33</v>
      </c>
      <c r="F17" s="5"/>
      <c r="G17" s="6">
        <f t="shared" si="0"/>
        <v>98</v>
      </c>
      <c r="H17" s="4">
        <f t="shared" si="1"/>
        <v>32.666666666666664</v>
      </c>
      <c r="I17" s="4">
        <f t="shared" si="2"/>
        <v>8.1666666666666661</v>
      </c>
      <c r="J17" s="5"/>
      <c r="K17" s="4">
        <v>39</v>
      </c>
      <c r="L17" s="4">
        <f t="shared" si="3"/>
        <v>117</v>
      </c>
      <c r="M17" s="4">
        <f t="shared" si="4"/>
        <v>29.25</v>
      </c>
      <c r="N17" s="4">
        <f t="shared" si="5"/>
        <v>37.416666666666664</v>
      </c>
    </row>
    <row r="18" spans="1:14" x14ac:dyDescent="0.3">
      <c r="A18" s="2">
        <v>13</v>
      </c>
      <c r="B18" s="7" t="s">
        <v>100</v>
      </c>
      <c r="C18" s="4">
        <v>41</v>
      </c>
      <c r="D18" s="4">
        <v>42</v>
      </c>
      <c r="E18" s="4">
        <v>39</v>
      </c>
      <c r="F18" s="5"/>
      <c r="G18" s="6">
        <f t="shared" si="0"/>
        <v>122</v>
      </c>
      <c r="H18" s="4">
        <f t="shared" si="1"/>
        <v>40.666666666666664</v>
      </c>
      <c r="I18" s="4">
        <f t="shared" si="2"/>
        <v>10.166666666666666</v>
      </c>
      <c r="J18" s="5"/>
      <c r="K18" s="4">
        <v>35</v>
      </c>
      <c r="L18" s="4">
        <f t="shared" si="3"/>
        <v>105</v>
      </c>
      <c r="M18" s="4">
        <f t="shared" si="4"/>
        <v>26.25</v>
      </c>
      <c r="N18" s="4">
        <f t="shared" si="5"/>
        <v>36.416666666666664</v>
      </c>
    </row>
    <row r="19" spans="1:14" x14ac:dyDescent="0.3">
      <c r="A19" s="2">
        <v>14</v>
      </c>
      <c r="B19" s="7" t="s">
        <v>84</v>
      </c>
      <c r="C19" s="4">
        <v>28</v>
      </c>
      <c r="D19" s="4">
        <v>28</v>
      </c>
      <c r="E19" s="4">
        <v>42</v>
      </c>
      <c r="F19" s="5"/>
      <c r="G19" s="6">
        <f t="shared" si="0"/>
        <v>98</v>
      </c>
      <c r="H19" s="4">
        <f t="shared" si="1"/>
        <v>32.666666666666664</v>
      </c>
      <c r="I19" s="4">
        <f t="shared" si="2"/>
        <v>8.1666666666666661</v>
      </c>
      <c r="J19" s="5"/>
      <c r="K19" s="4">
        <v>34</v>
      </c>
      <c r="L19" s="4">
        <f t="shared" si="3"/>
        <v>102</v>
      </c>
      <c r="M19" s="4">
        <f t="shared" si="4"/>
        <v>25.5</v>
      </c>
      <c r="N19" s="4">
        <f t="shared" si="5"/>
        <v>33.666666666666664</v>
      </c>
    </row>
    <row r="20" spans="1:14" x14ac:dyDescent="0.3">
      <c r="A20" s="2">
        <v>15</v>
      </c>
      <c r="B20" s="7" t="s">
        <v>101</v>
      </c>
      <c r="C20" s="4">
        <v>38</v>
      </c>
      <c r="D20" s="4">
        <v>34</v>
      </c>
      <c r="E20" s="4">
        <v>28</v>
      </c>
      <c r="F20" s="5"/>
      <c r="G20" s="6">
        <f t="shared" si="0"/>
        <v>100</v>
      </c>
      <c r="H20" s="4">
        <f t="shared" si="1"/>
        <v>33.333333333333336</v>
      </c>
      <c r="I20" s="4">
        <f t="shared" si="2"/>
        <v>8.3333333333333339</v>
      </c>
      <c r="J20" s="5"/>
      <c r="K20" s="4">
        <v>48</v>
      </c>
      <c r="L20" s="4">
        <f t="shared" si="3"/>
        <v>144</v>
      </c>
      <c r="M20" s="4">
        <f t="shared" si="4"/>
        <v>36</v>
      </c>
      <c r="N20" s="4">
        <f t="shared" si="5"/>
        <v>44.333333333333336</v>
      </c>
    </row>
    <row r="21" spans="1:14" x14ac:dyDescent="0.3">
      <c r="A21" s="2">
        <v>16</v>
      </c>
      <c r="B21" s="7" t="s">
        <v>92</v>
      </c>
      <c r="C21" s="4">
        <v>44</v>
      </c>
      <c r="D21" s="4">
        <v>38</v>
      </c>
      <c r="E21" s="4">
        <v>32</v>
      </c>
      <c r="F21" s="5"/>
      <c r="G21" s="6">
        <f t="shared" si="0"/>
        <v>114</v>
      </c>
      <c r="H21" s="4">
        <f t="shared" si="1"/>
        <v>38</v>
      </c>
      <c r="I21" s="4">
        <f t="shared" si="2"/>
        <v>9.5</v>
      </c>
      <c r="J21" s="5"/>
      <c r="K21" s="4">
        <v>32</v>
      </c>
      <c r="L21" s="4">
        <f t="shared" si="3"/>
        <v>96</v>
      </c>
      <c r="M21" s="4">
        <f t="shared" si="4"/>
        <v>24</v>
      </c>
      <c r="N21" s="4">
        <f t="shared" si="5"/>
        <v>33.5</v>
      </c>
    </row>
    <row r="22" spans="1:14" x14ac:dyDescent="0.3">
      <c r="A22" s="2">
        <v>17</v>
      </c>
      <c r="B22" s="7" t="s">
        <v>91</v>
      </c>
      <c r="C22" s="4">
        <v>28</v>
      </c>
      <c r="D22" s="4">
        <v>41</v>
      </c>
      <c r="E22" s="4">
        <v>47</v>
      </c>
      <c r="F22" s="5"/>
      <c r="G22" s="6">
        <f t="shared" ref="G22:G29" si="6">SUM(C22:E22)</f>
        <v>116</v>
      </c>
      <c r="H22" s="4">
        <f t="shared" ref="H22:H29" si="7">AVERAGE(C22:E22)</f>
        <v>38.666666666666664</v>
      </c>
      <c r="I22" s="4">
        <f t="shared" ref="I22:I29" si="8">G22/12</f>
        <v>9.6666666666666661</v>
      </c>
      <c r="J22" s="5"/>
      <c r="K22" s="4">
        <v>38</v>
      </c>
      <c r="L22" s="4">
        <f t="shared" si="3"/>
        <v>114</v>
      </c>
      <c r="M22" s="4">
        <f t="shared" si="4"/>
        <v>28.5</v>
      </c>
      <c r="N22" s="4">
        <f t="shared" si="5"/>
        <v>38.166666666666664</v>
      </c>
    </row>
    <row r="23" spans="1:14" x14ac:dyDescent="0.3">
      <c r="A23" s="2">
        <v>18</v>
      </c>
      <c r="B23" s="7" t="s">
        <v>95</v>
      </c>
      <c r="C23" s="4">
        <v>22</v>
      </c>
      <c r="D23" s="4">
        <v>22</v>
      </c>
      <c r="E23" s="4">
        <v>22</v>
      </c>
      <c r="F23" s="5"/>
      <c r="G23" s="6">
        <f t="shared" si="6"/>
        <v>66</v>
      </c>
      <c r="H23" s="4">
        <f t="shared" si="7"/>
        <v>22</v>
      </c>
      <c r="I23" s="4">
        <f t="shared" si="8"/>
        <v>5.5</v>
      </c>
      <c r="J23" s="5"/>
      <c r="K23" s="4">
        <v>40</v>
      </c>
      <c r="L23" s="4">
        <f t="shared" si="3"/>
        <v>120</v>
      </c>
      <c r="M23" s="4">
        <f t="shared" si="4"/>
        <v>30</v>
      </c>
      <c r="N23" s="4">
        <f t="shared" si="5"/>
        <v>35.5</v>
      </c>
    </row>
    <row r="24" spans="1:14" x14ac:dyDescent="0.3">
      <c r="A24" s="2">
        <v>19</v>
      </c>
      <c r="B24" s="7" t="s">
        <v>102</v>
      </c>
      <c r="C24" s="4">
        <v>34</v>
      </c>
      <c r="D24" s="4">
        <v>34</v>
      </c>
      <c r="E24" s="4">
        <v>39</v>
      </c>
      <c r="F24" s="5"/>
      <c r="G24" s="6">
        <f t="shared" si="6"/>
        <v>107</v>
      </c>
      <c r="H24" s="4">
        <f t="shared" si="7"/>
        <v>35.666666666666664</v>
      </c>
      <c r="I24" s="4">
        <f t="shared" si="8"/>
        <v>8.9166666666666661</v>
      </c>
      <c r="J24" s="5"/>
      <c r="K24" s="4">
        <v>22</v>
      </c>
      <c r="L24" s="4">
        <f t="shared" si="3"/>
        <v>66</v>
      </c>
      <c r="M24" s="4">
        <f t="shared" si="4"/>
        <v>16.5</v>
      </c>
      <c r="N24" s="4">
        <f t="shared" si="5"/>
        <v>25.416666666666664</v>
      </c>
    </row>
    <row r="25" spans="1:14" x14ac:dyDescent="0.3">
      <c r="A25" s="2">
        <v>20</v>
      </c>
      <c r="B25" s="7" t="s">
        <v>98</v>
      </c>
      <c r="C25" s="4">
        <v>28</v>
      </c>
      <c r="D25" s="4">
        <v>22</v>
      </c>
      <c r="E25" s="4">
        <v>28</v>
      </c>
      <c r="F25" s="5"/>
      <c r="G25" s="6">
        <f t="shared" si="6"/>
        <v>78</v>
      </c>
      <c r="H25" s="4">
        <f t="shared" si="7"/>
        <v>26</v>
      </c>
      <c r="I25" s="4">
        <f t="shared" si="8"/>
        <v>6.5</v>
      </c>
      <c r="J25" s="5"/>
      <c r="K25" s="4">
        <v>45</v>
      </c>
      <c r="L25" s="4">
        <f t="shared" si="3"/>
        <v>135</v>
      </c>
      <c r="M25" s="4">
        <f t="shared" si="4"/>
        <v>33.75</v>
      </c>
      <c r="N25" s="4">
        <f t="shared" si="5"/>
        <v>40.25</v>
      </c>
    </row>
    <row r="26" spans="1:14" x14ac:dyDescent="0.3">
      <c r="A26" s="2">
        <v>21</v>
      </c>
      <c r="B26" s="7" t="s">
        <v>83</v>
      </c>
      <c r="C26" s="4">
        <v>71</v>
      </c>
      <c r="D26" s="4">
        <v>69</v>
      </c>
      <c r="E26" s="4">
        <v>65</v>
      </c>
      <c r="F26" s="5"/>
      <c r="G26" s="6">
        <f t="shared" si="6"/>
        <v>205</v>
      </c>
      <c r="H26" s="4">
        <f t="shared" si="7"/>
        <v>68.333333333333329</v>
      </c>
      <c r="I26" s="4">
        <f t="shared" si="8"/>
        <v>17.083333333333332</v>
      </c>
      <c r="J26" s="5"/>
      <c r="K26" s="4">
        <v>65</v>
      </c>
      <c r="L26" s="4">
        <f t="shared" si="3"/>
        <v>195</v>
      </c>
      <c r="M26" s="4">
        <f t="shared" si="4"/>
        <v>48.75</v>
      </c>
      <c r="N26" s="4">
        <f t="shared" si="5"/>
        <v>65.833333333333329</v>
      </c>
    </row>
    <row r="27" spans="1:14" x14ac:dyDescent="0.3">
      <c r="A27" s="2">
        <v>22</v>
      </c>
      <c r="B27" s="7" t="s">
        <v>106</v>
      </c>
      <c r="C27" s="4">
        <v>28</v>
      </c>
      <c r="D27" s="4">
        <v>40</v>
      </c>
      <c r="E27" s="4">
        <v>47</v>
      </c>
      <c r="F27" s="5"/>
      <c r="G27" s="6">
        <f t="shared" si="6"/>
        <v>115</v>
      </c>
      <c r="H27" s="4">
        <f t="shared" si="7"/>
        <v>38.333333333333336</v>
      </c>
      <c r="I27" s="4">
        <f t="shared" si="8"/>
        <v>9.5833333333333339</v>
      </c>
      <c r="J27" s="5"/>
      <c r="K27" s="4">
        <v>42</v>
      </c>
      <c r="L27" s="4">
        <f t="shared" si="3"/>
        <v>126</v>
      </c>
      <c r="M27" s="4">
        <f t="shared" si="4"/>
        <v>31.5</v>
      </c>
      <c r="N27" s="4">
        <f t="shared" si="5"/>
        <v>41.083333333333336</v>
      </c>
    </row>
    <row r="28" spans="1:14" x14ac:dyDescent="0.3">
      <c r="A28" s="2">
        <v>23</v>
      </c>
      <c r="B28" s="7" t="s">
        <v>90</v>
      </c>
      <c r="C28" s="4">
        <v>52</v>
      </c>
      <c r="D28" s="4">
        <v>42</v>
      </c>
      <c r="E28" s="4">
        <v>53</v>
      </c>
      <c r="F28" s="5"/>
      <c r="G28" s="6">
        <f t="shared" si="6"/>
        <v>147</v>
      </c>
      <c r="H28" s="4">
        <f t="shared" si="7"/>
        <v>49</v>
      </c>
      <c r="I28" s="4">
        <f t="shared" si="8"/>
        <v>12.25</v>
      </c>
      <c r="J28" s="5"/>
      <c r="K28" s="4">
        <v>40</v>
      </c>
      <c r="L28" s="4">
        <f t="shared" si="3"/>
        <v>120</v>
      </c>
      <c r="M28" s="4">
        <f t="shared" si="4"/>
        <v>30</v>
      </c>
      <c r="N28" s="4">
        <f t="shared" si="5"/>
        <v>42.25</v>
      </c>
    </row>
    <row r="29" spans="1:14" x14ac:dyDescent="0.3">
      <c r="A29" s="2">
        <v>24</v>
      </c>
      <c r="B29" s="7" t="s">
        <v>96</v>
      </c>
      <c r="C29" s="4">
        <v>35</v>
      </c>
      <c r="D29" s="4">
        <v>37</v>
      </c>
      <c r="E29" s="4">
        <v>28</v>
      </c>
      <c r="F29" s="5"/>
      <c r="G29" s="6">
        <f t="shared" si="6"/>
        <v>100</v>
      </c>
      <c r="H29" s="4">
        <f t="shared" si="7"/>
        <v>33.333333333333336</v>
      </c>
      <c r="I29" s="4">
        <f t="shared" si="8"/>
        <v>8.3333333333333339</v>
      </c>
      <c r="J29" s="5"/>
      <c r="K29" s="4">
        <v>33</v>
      </c>
      <c r="L29" s="4">
        <f t="shared" si="3"/>
        <v>99</v>
      </c>
      <c r="M29" s="4">
        <f t="shared" si="4"/>
        <v>24.75</v>
      </c>
      <c r="N29" s="4">
        <f t="shared" si="5"/>
        <v>33.083333333333336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82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44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7" t="s">
        <v>89</v>
      </c>
      <c r="C53" s="4">
        <v>80</v>
      </c>
      <c r="D53" s="4">
        <v>74</v>
      </c>
      <c r="E53" s="4">
        <v>75</v>
      </c>
      <c r="F53" s="5"/>
      <c r="G53" s="6">
        <f>SUM(C53:E53)</f>
        <v>229</v>
      </c>
      <c r="H53" s="4">
        <f>AVERAGE(C53:E53)</f>
        <v>76.333333333333329</v>
      </c>
      <c r="I53" s="4">
        <f>G53/12</f>
        <v>19.083333333333332</v>
      </c>
      <c r="J53" s="5"/>
      <c r="K53" s="4"/>
      <c r="L53" s="4">
        <f>K53*3</f>
        <v>0</v>
      </c>
      <c r="M53" s="4">
        <f>L53/4</f>
        <v>0</v>
      </c>
      <c r="N53" s="4">
        <f>M53+I53</f>
        <v>19.083333333333332</v>
      </c>
    </row>
    <row r="54" spans="1:15" x14ac:dyDescent="0.3">
      <c r="A54" s="2">
        <v>2</v>
      </c>
      <c r="B54" s="7" t="s">
        <v>94</v>
      </c>
      <c r="C54" s="4">
        <v>62</v>
      </c>
      <c r="D54" s="4">
        <v>62</v>
      </c>
      <c r="E54" s="4">
        <v>65</v>
      </c>
      <c r="F54" s="5"/>
      <c r="G54" s="6">
        <f t="shared" ref="G54:G76" si="9">SUM(C54:E54)</f>
        <v>189</v>
      </c>
      <c r="H54" s="4">
        <f t="shared" ref="H54:H76" si="10">AVERAGE(C54:E54)</f>
        <v>63</v>
      </c>
      <c r="I54" s="4">
        <f t="shared" ref="I54:I76" si="11">G54/12</f>
        <v>15.75</v>
      </c>
      <c r="J54" s="5"/>
      <c r="K54" s="4"/>
      <c r="L54" s="4">
        <f t="shared" ref="L54:L76" si="12">K54*3</f>
        <v>0</v>
      </c>
      <c r="M54" s="4">
        <f t="shared" ref="M54:M76" si="13">L54/4</f>
        <v>0</v>
      </c>
      <c r="N54" s="4">
        <f t="shared" ref="N54:N76" si="14">M54+I54</f>
        <v>15.75</v>
      </c>
    </row>
    <row r="55" spans="1:15" x14ac:dyDescent="0.3">
      <c r="A55" s="2">
        <v>3</v>
      </c>
      <c r="B55" s="7" t="s">
        <v>97</v>
      </c>
      <c r="C55" s="4">
        <v>55</v>
      </c>
      <c r="D55" s="4">
        <v>55</v>
      </c>
      <c r="E55" s="4">
        <v>55</v>
      </c>
      <c r="F55" s="5"/>
      <c r="G55" s="6">
        <f t="shared" si="9"/>
        <v>165</v>
      </c>
      <c r="H55" s="4">
        <f t="shared" si="10"/>
        <v>55</v>
      </c>
      <c r="I55" s="4">
        <f t="shared" si="11"/>
        <v>13.75</v>
      </c>
      <c r="J55" s="5"/>
      <c r="K55" s="4"/>
      <c r="L55" s="4">
        <f t="shared" si="12"/>
        <v>0</v>
      </c>
      <c r="M55" s="4">
        <f t="shared" si="13"/>
        <v>0</v>
      </c>
      <c r="N55" s="4">
        <f t="shared" si="14"/>
        <v>13.75</v>
      </c>
    </row>
    <row r="56" spans="1:15" x14ac:dyDescent="0.3">
      <c r="A56" s="2">
        <v>4</v>
      </c>
      <c r="B56" s="7" t="s">
        <v>103</v>
      </c>
      <c r="C56" s="4">
        <v>71</v>
      </c>
      <c r="D56" s="4">
        <v>38</v>
      </c>
      <c r="E56" s="4">
        <v>69</v>
      </c>
      <c r="F56" s="5"/>
      <c r="G56" s="6">
        <f t="shared" si="9"/>
        <v>178</v>
      </c>
      <c r="H56" s="4">
        <f t="shared" si="10"/>
        <v>59.333333333333336</v>
      </c>
      <c r="I56" s="4">
        <f t="shared" si="11"/>
        <v>14.833333333333334</v>
      </c>
      <c r="J56" s="5"/>
      <c r="K56" s="4"/>
      <c r="L56" s="4">
        <f t="shared" si="12"/>
        <v>0</v>
      </c>
      <c r="M56" s="4">
        <f t="shared" si="13"/>
        <v>0</v>
      </c>
      <c r="N56" s="4">
        <f t="shared" si="14"/>
        <v>14.833333333333334</v>
      </c>
    </row>
    <row r="57" spans="1:15" x14ac:dyDescent="0.3">
      <c r="A57" s="2">
        <v>5</v>
      </c>
      <c r="B57" s="7" t="s">
        <v>88</v>
      </c>
      <c r="C57" s="4">
        <v>89</v>
      </c>
      <c r="D57" s="4">
        <v>85</v>
      </c>
      <c r="E57" s="4">
        <v>80</v>
      </c>
      <c r="F57" s="5"/>
      <c r="G57" s="6">
        <f t="shared" si="9"/>
        <v>254</v>
      </c>
      <c r="H57" s="4">
        <f t="shared" si="10"/>
        <v>84.666666666666671</v>
      </c>
      <c r="I57" s="4">
        <f t="shared" si="11"/>
        <v>21.166666666666668</v>
      </c>
      <c r="J57" s="5"/>
      <c r="K57" s="4"/>
      <c r="L57" s="4">
        <f t="shared" si="12"/>
        <v>0</v>
      </c>
      <c r="M57" s="4">
        <f t="shared" si="13"/>
        <v>0</v>
      </c>
      <c r="N57" s="4">
        <f t="shared" si="14"/>
        <v>21.166666666666668</v>
      </c>
    </row>
    <row r="58" spans="1:15" x14ac:dyDescent="0.3">
      <c r="A58" s="2">
        <v>6</v>
      </c>
      <c r="B58" s="7" t="s">
        <v>93</v>
      </c>
      <c r="C58" s="4">
        <v>91</v>
      </c>
      <c r="D58" s="4">
        <v>89</v>
      </c>
      <c r="E58" s="4">
        <v>81</v>
      </c>
      <c r="F58" s="5"/>
      <c r="G58" s="6">
        <f t="shared" si="9"/>
        <v>261</v>
      </c>
      <c r="H58" s="4">
        <f t="shared" si="10"/>
        <v>87</v>
      </c>
      <c r="I58" s="4">
        <f t="shared" si="11"/>
        <v>21.75</v>
      </c>
      <c r="J58" s="5"/>
      <c r="K58" s="4"/>
      <c r="L58" s="4">
        <f t="shared" si="12"/>
        <v>0</v>
      </c>
      <c r="M58" s="4">
        <f t="shared" si="13"/>
        <v>0</v>
      </c>
      <c r="N58" s="4">
        <f t="shared" si="14"/>
        <v>21.75</v>
      </c>
    </row>
    <row r="59" spans="1:15" x14ac:dyDescent="0.3">
      <c r="A59" s="2">
        <v>7</v>
      </c>
      <c r="B59" s="7" t="s">
        <v>87</v>
      </c>
      <c r="C59" s="4">
        <v>90</v>
      </c>
      <c r="D59" s="4">
        <v>92</v>
      </c>
      <c r="E59" s="4">
        <v>89</v>
      </c>
      <c r="F59" s="5"/>
      <c r="G59" s="6">
        <f t="shared" si="9"/>
        <v>271</v>
      </c>
      <c r="H59" s="4">
        <f t="shared" si="10"/>
        <v>90.333333333333329</v>
      </c>
      <c r="I59" s="4">
        <f t="shared" si="11"/>
        <v>22.583333333333332</v>
      </c>
      <c r="J59" s="5"/>
      <c r="K59" s="4"/>
      <c r="L59" s="4">
        <f t="shared" si="12"/>
        <v>0</v>
      </c>
      <c r="M59" s="4">
        <f t="shared" si="13"/>
        <v>0</v>
      </c>
      <c r="N59" s="4">
        <f t="shared" si="14"/>
        <v>22.583333333333332</v>
      </c>
    </row>
    <row r="60" spans="1:15" x14ac:dyDescent="0.3">
      <c r="A60" s="2">
        <v>8</v>
      </c>
      <c r="B60" s="7" t="s">
        <v>86</v>
      </c>
      <c r="C60" s="4">
        <v>90</v>
      </c>
      <c r="D60" s="4">
        <v>87</v>
      </c>
      <c r="E60" s="4">
        <v>85</v>
      </c>
      <c r="F60" s="5"/>
      <c r="G60" s="6">
        <f t="shared" si="9"/>
        <v>262</v>
      </c>
      <c r="H60" s="4">
        <f t="shared" si="10"/>
        <v>87.333333333333329</v>
      </c>
      <c r="I60" s="4">
        <f t="shared" si="11"/>
        <v>21.833333333333332</v>
      </c>
      <c r="J60" s="5"/>
      <c r="K60" s="4"/>
      <c r="L60" s="4">
        <f t="shared" si="12"/>
        <v>0</v>
      </c>
      <c r="M60" s="4">
        <f t="shared" si="13"/>
        <v>0</v>
      </c>
      <c r="N60" s="4">
        <f t="shared" si="14"/>
        <v>21.833333333333332</v>
      </c>
    </row>
    <row r="61" spans="1:15" x14ac:dyDescent="0.3">
      <c r="A61" s="2">
        <v>9</v>
      </c>
      <c r="B61" s="7" t="s">
        <v>85</v>
      </c>
      <c r="C61" s="4">
        <v>74</v>
      </c>
      <c r="D61" s="4">
        <v>74</v>
      </c>
      <c r="E61" s="4">
        <v>69</v>
      </c>
      <c r="F61" s="5"/>
      <c r="G61" s="6">
        <f t="shared" si="9"/>
        <v>217</v>
      </c>
      <c r="H61" s="4">
        <f t="shared" si="10"/>
        <v>72.333333333333329</v>
      </c>
      <c r="I61" s="4">
        <f t="shared" si="11"/>
        <v>18.083333333333332</v>
      </c>
      <c r="J61" s="5"/>
      <c r="K61" s="4"/>
      <c r="L61" s="4">
        <f t="shared" si="12"/>
        <v>0</v>
      </c>
      <c r="M61" s="4">
        <f t="shared" si="13"/>
        <v>0</v>
      </c>
      <c r="N61" s="4">
        <f t="shared" si="14"/>
        <v>18.083333333333332</v>
      </c>
    </row>
    <row r="62" spans="1:15" x14ac:dyDescent="0.3">
      <c r="A62" s="2">
        <v>10</v>
      </c>
      <c r="B62" s="7" t="s">
        <v>105</v>
      </c>
      <c r="C62" s="4">
        <v>62</v>
      </c>
      <c r="D62" s="4">
        <v>69</v>
      </c>
      <c r="E62" s="4">
        <v>75</v>
      </c>
      <c r="F62" s="5"/>
      <c r="G62" s="6">
        <f t="shared" si="9"/>
        <v>206</v>
      </c>
      <c r="H62" s="4">
        <f t="shared" si="10"/>
        <v>68.666666666666671</v>
      </c>
      <c r="I62" s="4">
        <f t="shared" si="11"/>
        <v>17.166666666666668</v>
      </c>
      <c r="J62" s="5"/>
      <c r="K62" s="4"/>
      <c r="L62" s="4">
        <f t="shared" si="12"/>
        <v>0</v>
      </c>
      <c r="M62" s="4">
        <f t="shared" si="13"/>
        <v>0</v>
      </c>
      <c r="N62" s="4">
        <f t="shared" si="14"/>
        <v>17.166666666666668</v>
      </c>
    </row>
    <row r="63" spans="1:15" x14ac:dyDescent="0.3">
      <c r="A63" s="2">
        <v>11</v>
      </c>
      <c r="B63" s="7" t="s">
        <v>99</v>
      </c>
      <c r="C63" s="4">
        <v>82</v>
      </c>
      <c r="D63" s="4">
        <v>77</v>
      </c>
      <c r="E63" s="4">
        <v>66</v>
      </c>
      <c r="F63" s="5"/>
      <c r="G63" s="6">
        <f t="shared" si="9"/>
        <v>225</v>
      </c>
      <c r="H63" s="4">
        <f t="shared" si="10"/>
        <v>75</v>
      </c>
      <c r="I63" s="4">
        <f t="shared" si="11"/>
        <v>18.75</v>
      </c>
      <c r="J63" s="5"/>
      <c r="K63" s="4"/>
      <c r="L63" s="4">
        <f t="shared" si="12"/>
        <v>0</v>
      </c>
      <c r="M63" s="4">
        <f t="shared" si="13"/>
        <v>0</v>
      </c>
      <c r="N63" s="4">
        <f t="shared" si="14"/>
        <v>18.75</v>
      </c>
    </row>
    <row r="64" spans="1:15" x14ac:dyDescent="0.3">
      <c r="A64" s="2">
        <v>12</v>
      </c>
      <c r="B64" s="7" t="s">
        <v>104</v>
      </c>
      <c r="C64" s="4">
        <v>88</v>
      </c>
      <c r="D64" s="4">
        <v>82</v>
      </c>
      <c r="E64" s="4">
        <v>80</v>
      </c>
      <c r="F64" s="5"/>
      <c r="G64" s="6">
        <f t="shared" si="9"/>
        <v>250</v>
      </c>
      <c r="H64" s="4">
        <f t="shared" si="10"/>
        <v>83.333333333333329</v>
      </c>
      <c r="I64" s="4">
        <f t="shared" si="11"/>
        <v>20.833333333333332</v>
      </c>
      <c r="J64" s="5"/>
      <c r="K64" s="4"/>
      <c r="L64" s="4">
        <f t="shared" si="12"/>
        <v>0</v>
      </c>
      <c r="M64" s="4">
        <f t="shared" si="13"/>
        <v>0</v>
      </c>
      <c r="N64" s="4">
        <f t="shared" si="14"/>
        <v>20.833333333333332</v>
      </c>
    </row>
    <row r="65" spans="1:14" x14ac:dyDescent="0.3">
      <c r="A65" s="2">
        <v>13</v>
      </c>
      <c r="B65" s="7" t="s">
        <v>100</v>
      </c>
      <c r="C65" s="4">
        <v>62</v>
      </c>
      <c r="D65" s="4">
        <v>69</v>
      </c>
      <c r="E65" s="4">
        <v>65</v>
      </c>
      <c r="F65" s="5"/>
      <c r="G65" s="6">
        <f t="shared" si="9"/>
        <v>196</v>
      </c>
      <c r="H65" s="4">
        <f t="shared" si="10"/>
        <v>65.333333333333329</v>
      </c>
      <c r="I65" s="4">
        <f t="shared" si="11"/>
        <v>16.333333333333332</v>
      </c>
      <c r="J65" s="5"/>
      <c r="K65" s="4"/>
      <c r="L65" s="4">
        <f t="shared" si="12"/>
        <v>0</v>
      </c>
      <c r="M65" s="4">
        <f t="shared" si="13"/>
        <v>0</v>
      </c>
      <c r="N65" s="4">
        <f t="shared" si="14"/>
        <v>16.333333333333332</v>
      </c>
    </row>
    <row r="66" spans="1:14" x14ac:dyDescent="0.3">
      <c r="A66" s="2">
        <v>14</v>
      </c>
      <c r="B66" s="7" t="s">
        <v>84</v>
      </c>
      <c r="C66" s="4">
        <v>53</v>
      </c>
      <c r="D66" s="4">
        <v>77</v>
      </c>
      <c r="E66" s="4">
        <v>75</v>
      </c>
      <c r="F66" s="5"/>
      <c r="G66" s="6">
        <f t="shared" si="9"/>
        <v>205</v>
      </c>
      <c r="H66" s="4">
        <f t="shared" si="10"/>
        <v>68.333333333333329</v>
      </c>
      <c r="I66" s="4">
        <f t="shared" si="11"/>
        <v>17.083333333333332</v>
      </c>
      <c r="J66" s="5"/>
      <c r="K66" s="4"/>
      <c r="L66" s="4">
        <f t="shared" si="12"/>
        <v>0</v>
      </c>
      <c r="M66" s="4">
        <f t="shared" si="13"/>
        <v>0</v>
      </c>
      <c r="N66" s="4">
        <f t="shared" si="14"/>
        <v>17.083333333333332</v>
      </c>
    </row>
    <row r="67" spans="1:14" x14ac:dyDescent="0.3">
      <c r="A67" s="2">
        <v>15</v>
      </c>
      <c r="B67" s="7" t="s">
        <v>101</v>
      </c>
      <c r="C67" s="4">
        <v>86</v>
      </c>
      <c r="D67" s="4">
        <v>88</v>
      </c>
      <c r="E67" s="4">
        <v>84</v>
      </c>
      <c r="F67" s="5"/>
      <c r="G67" s="6">
        <f t="shared" si="9"/>
        <v>258</v>
      </c>
      <c r="H67" s="4">
        <f t="shared" si="10"/>
        <v>86</v>
      </c>
      <c r="I67" s="4">
        <f t="shared" si="11"/>
        <v>21.5</v>
      </c>
      <c r="J67" s="5"/>
      <c r="K67" s="4"/>
      <c r="L67" s="4">
        <f t="shared" si="12"/>
        <v>0</v>
      </c>
      <c r="M67" s="4">
        <f t="shared" si="13"/>
        <v>0</v>
      </c>
      <c r="N67" s="4">
        <f t="shared" si="14"/>
        <v>21.5</v>
      </c>
    </row>
    <row r="68" spans="1:14" x14ac:dyDescent="0.3">
      <c r="A68" s="2">
        <v>16</v>
      </c>
      <c r="B68" s="7" t="s">
        <v>92</v>
      </c>
      <c r="C68" s="4">
        <v>71</v>
      </c>
      <c r="D68" s="4">
        <v>71</v>
      </c>
      <c r="E68" s="4">
        <v>69</v>
      </c>
      <c r="F68" s="5"/>
      <c r="G68" s="6">
        <f t="shared" si="9"/>
        <v>211</v>
      </c>
      <c r="H68" s="4">
        <f t="shared" si="10"/>
        <v>70.333333333333329</v>
      </c>
      <c r="I68" s="4">
        <f t="shared" si="11"/>
        <v>17.583333333333332</v>
      </c>
      <c r="J68" s="5"/>
      <c r="K68" s="4"/>
      <c r="L68" s="4">
        <f t="shared" si="12"/>
        <v>0</v>
      </c>
      <c r="M68" s="4">
        <f t="shared" si="13"/>
        <v>0</v>
      </c>
      <c r="N68" s="4">
        <f t="shared" si="14"/>
        <v>17.583333333333332</v>
      </c>
    </row>
    <row r="69" spans="1:14" x14ac:dyDescent="0.3">
      <c r="A69" s="2">
        <v>17</v>
      </c>
      <c r="B69" s="7" t="s">
        <v>91</v>
      </c>
      <c r="C69" s="4">
        <v>66</v>
      </c>
      <c r="D69" s="4">
        <v>72</v>
      </c>
      <c r="E69" s="4">
        <v>72</v>
      </c>
      <c r="F69" s="5"/>
      <c r="G69" s="6">
        <f t="shared" si="9"/>
        <v>210</v>
      </c>
      <c r="H69" s="4">
        <f t="shared" si="10"/>
        <v>70</v>
      </c>
      <c r="I69" s="4">
        <f t="shared" si="11"/>
        <v>17.5</v>
      </c>
      <c r="J69" s="5"/>
      <c r="K69" s="4"/>
      <c r="L69" s="4">
        <f t="shared" si="12"/>
        <v>0</v>
      </c>
      <c r="M69" s="4">
        <f t="shared" si="13"/>
        <v>0</v>
      </c>
      <c r="N69" s="4">
        <f t="shared" si="14"/>
        <v>17.5</v>
      </c>
    </row>
    <row r="70" spans="1:14" x14ac:dyDescent="0.3">
      <c r="A70" s="2">
        <v>18</v>
      </c>
      <c r="B70" s="7" t="s">
        <v>95</v>
      </c>
      <c r="C70" s="4">
        <v>58</v>
      </c>
      <c r="D70" s="4">
        <v>52</v>
      </c>
      <c r="E70" s="4">
        <v>55</v>
      </c>
      <c r="F70" s="5"/>
      <c r="G70" s="6">
        <f t="shared" si="9"/>
        <v>165</v>
      </c>
      <c r="H70" s="4">
        <f t="shared" si="10"/>
        <v>55</v>
      </c>
      <c r="I70" s="4">
        <f t="shared" si="11"/>
        <v>13.75</v>
      </c>
      <c r="J70" s="5"/>
      <c r="K70" s="4"/>
      <c r="L70" s="4">
        <f t="shared" si="12"/>
        <v>0</v>
      </c>
      <c r="M70" s="4">
        <f t="shared" si="13"/>
        <v>0</v>
      </c>
      <c r="N70" s="4">
        <f t="shared" si="14"/>
        <v>13.75</v>
      </c>
    </row>
    <row r="71" spans="1:14" x14ac:dyDescent="0.3">
      <c r="A71" s="2">
        <v>19</v>
      </c>
      <c r="B71" s="7" t="s">
        <v>102</v>
      </c>
      <c r="C71" s="4">
        <v>70</v>
      </c>
      <c r="D71" s="4">
        <v>62</v>
      </c>
      <c r="E71" s="4">
        <v>64</v>
      </c>
      <c r="F71" s="5"/>
      <c r="G71" s="6">
        <f t="shared" si="9"/>
        <v>196</v>
      </c>
      <c r="H71" s="4">
        <f t="shared" si="10"/>
        <v>65.333333333333329</v>
      </c>
      <c r="I71" s="4">
        <f t="shared" si="11"/>
        <v>16.333333333333332</v>
      </c>
      <c r="J71" s="5"/>
      <c r="K71" s="4"/>
      <c r="L71" s="4">
        <f t="shared" si="12"/>
        <v>0</v>
      </c>
      <c r="M71" s="4">
        <f t="shared" si="13"/>
        <v>0</v>
      </c>
      <c r="N71" s="4">
        <f t="shared" si="14"/>
        <v>16.333333333333332</v>
      </c>
    </row>
    <row r="72" spans="1:14" x14ac:dyDescent="0.3">
      <c r="A72" s="2">
        <v>20</v>
      </c>
      <c r="B72" s="7" t="s">
        <v>98</v>
      </c>
      <c r="C72" s="4">
        <v>66</v>
      </c>
      <c r="D72" s="4">
        <v>58</v>
      </c>
      <c r="E72" s="4">
        <v>70</v>
      </c>
      <c r="F72" s="5"/>
      <c r="G72" s="6">
        <f t="shared" si="9"/>
        <v>194</v>
      </c>
      <c r="H72" s="4">
        <f t="shared" si="10"/>
        <v>64.666666666666671</v>
      </c>
      <c r="I72" s="4">
        <f t="shared" si="11"/>
        <v>16.166666666666668</v>
      </c>
      <c r="J72" s="5"/>
      <c r="K72" s="4"/>
      <c r="L72" s="4">
        <f t="shared" si="12"/>
        <v>0</v>
      </c>
      <c r="M72" s="4">
        <f t="shared" si="13"/>
        <v>0</v>
      </c>
      <c r="N72" s="4">
        <f t="shared" si="14"/>
        <v>16.166666666666668</v>
      </c>
    </row>
    <row r="73" spans="1:14" x14ac:dyDescent="0.3">
      <c r="A73" s="2">
        <v>21</v>
      </c>
      <c r="B73" s="7" t="s">
        <v>83</v>
      </c>
      <c r="C73" s="4">
        <v>92</v>
      </c>
      <c r="D73" s="4">
        <v>91</v>
      </c>
      <c r="E73" s="4">
        <v>86</v>
      </c>
      <c r="F73" s="5"/>
      <c r="G73" s="6">
        <f t="shared" si="9"/>
        <v>269</v>
      </c>
      <c r="H73" s="4">
        <f t="shared" si="10"/>
        <v>89.666666666666671</v>
      </c>
      <c r="I73" s="4">
        <f t="shared" si="11"/>
        <v>22.416666666666668</v>
      </c>
      <c r="J73" s="5"/>
      <c r="K73" s="4"/>
      <c r="L73" s="4">
        <f t="shared" si="12"/>
        <v>0</v>
      </c>
      <c r="M73" s="4">
        <f t="shared" si="13"/>
        <v>0</v>
      </c>
      <c r="N73" s="4">
        <f t="shared" si="14"/>
        <v>22.416666666666668</v>
      </c>
    </row>
    <row r="74" spans="1:14" x14ac:dyDescent="0.3">
      <c r="A74" s="2">
        <v>22</v>
      </c>
      <c r="B74" s="7" t="s">
        <v>106</v>
      </c>
      <c r="C74" s="4">
        <v>77</v>
      </c>
      <c r="D74" s="4">
        <v>77</v>
      </c>
      <c r="E74" s="4">
        <v>77</v>
      </c>
      <c r="F74" s="5"/>
      <c r="G74" s="6">
        <f t="shared" si="9"/>
        <v>231</v>
      </c>
      <c r="H74" s="4">
        <f t="shared" si="10"/>
        <v>77</v>
      </c>
      <c r="I74" s="4">
        <f t="shared" si="11"/>
        <v>19.25</v>
      </c>
      <c r="J74" s="5"/>
      <c r="K74" s="4"/>
      <c r="L74" s="4">
        <f t="shared" si="12"/>
        <v>0</v>
      </c>
      <c r="M74" s="4">
        <f t="shared" si="13"/>
        <v>0</v>
      </c>
      <c r="N74" s="4">
        <f t="shared" si="14"/>
        <v>19.25</v>
      </c>
    </row>
    <row r="75" spans="1:14" x14ac:dyDescent="0.3">
      <c r="A75" s="2">
        <v>23</v>
      </c>
      <c r="B75" s="7" t="s">
        <v>90</v>
      </c>
      <c r="C75" s="4">
        <v>69</v>
      </c>
      <c r="D75" s="4">
        <v>52</v>
      </c>
      <c r="E75" s="4">
        <v>58</v>
      </c>
      <c r="F75" s="5"/>
      <c r="G75" s="6">
        <f t="shared" si="9"/>
        <v>179</v>
      </c>
      <c r="H75" s="4">
        <f t="shared" si="10"/>
        <v>59.666666666666664</v>
      </c>
      <c r="I75" s="4">
        <f t="shared" si="11"/>
        <v>14.916666666666666</v>
      </c>
      <c r="J75" s="5"/>
      <c r="K75" s="4"/>
      <c r="L75" s="4">
        <f t="shared" si="12"/>
        <v>0</v>
      </c>
      <c r="M75" s="4">
        <f t="shared" si="13"/>
        <v>0</v>
      </c>
      <c r="N75" s="4">
        <f t="shared" si="14"/>
        <v>14.916666666666666</v>
      </c>
    </row>
    <row r="76" spans="1:14" x14ac:dyDescent="0.3">
      <c r="A76" s="2">
        <v>24</v>
      </c>
      <c r="B76" s="7" t="s">
        <v>96</v>
      </c>
      <c r="C76" s="4">
        <v>55</v>
      </c>
      <c r="D76" s="4">
        <v>65</v>
      </c>
      <c r="E76" s="4">
        <v>69</v>
      </c>
      <c r="F76" s="5"/>
      <c r="G76" s="6">
        <f t="shared" si="9"/>
        <v>189</v>
      </c>
      <c r="H76" s="4">
        <f t="shared" si="10"/>
        <v>63</v>
      </c>
      <c r="I76" s="4">
        <f t="shared" si="11"/>
        <v>15.75</v>
      </c>
      <c r="J76" s="5"/>
      <c r="K76" s="4"/>
      <c r="L76" s="4">
        <f t="shared" si="12"/>
        <v>0</v>
      </c>
      <c r="M76" s="4">
        <f t="shared" si="13"/>
        <v>0</v>
      </c>
      <c r="N76" s="4">
        <f t="shared" si="14"/>
        <v>15.75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82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161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7" t="s">
        <v>89</v>
      </c>
      <c r="C100" s="4">
        <v>58</v>
      </c>
      <c r="D100" s="4">
        <v>40</v>
      </c>
      <c r="E100" s="4">
        <v>34</v>
      </c>
      <c r="F100" s="5"/>
      <c r="G100" s="6">
        <f>SUM(C100:E100)</f>
        <v>132</v>
      </c>
      <c r="H100" s="4">
        <f>AVERAGE(C100:E100)</f>
        <v>44</v>
      </c>
      <c r="I100" s="4">
        <f>G100/12</f>
        <v>11</v>
      </c>
      <c r="J100" s="5"/>
      <c r="K100" s="4">
        <v>42</v>
      </c>
      <c r="L100" s="4">
        <f>K100*3</f>
        <v>126</v>
      </c>
      <c r="M100" s="4">
        <f>L100/4</f>
        <v>31.5</v>
      </c>
      <c r="N100" s="4">
        <f>M100+I100</f>
        <v>42.5</v>
      </c>
    </row>
    <row r="101" spans="1:15" x14ac:dyDescent="0.3">
      <c r="A101" s="2">
        <v>2</v>
      </c>
      <c r="B101" s="7" t="s">
        <v>94</v>
      </c>
      <c r="C101" s="4">
        <v>38</v>
      </c>
      <c r="D101" s="4">
        <v>38</v>
      </c>
      <c r="E101" s="4">
        <v>29</v>
      </c>
      <c r="F101" s="5"/>
      <c r="G101" s="6">
        <f t="shared" ref="G101:G123" si="15">SUM(C101:E101)</f>
        <v>105</v>
      </c>
      <c r="H101" s="4">
        <f t="shared" ref="H101:H123" si="16">AVERAGE(C101:E101)</f>
        <v>35</v>
      </c>
      <c r="I101" s="4">
        <f t="shared" ref="I101:I123" si="17">G101/12</f>
        <v>8.75</v>
      </c>
      <c r="J101" s="5"/>
      <c r="K101" s="4">
        <v>38</v>
      </c>
      <c r="L101" s="4">
        <f t="shared" ref="L101:L123" si="18">K101*3</f>
        <v>114</v>
      </c>
      <c r="M101" s="4">
        <f t="shared" ref="M101:M123" si="19">L101/4</f>
        <v>28.5</v>
      </c>
      <c r="N101" s="4">
        <f t="shared" ref="N101:N123" si="20">M101+I101</f>
        <v>37.25</v>
      </c>
    </row>
    <row r="102" spans="1:15" x14ac:dyDescent="0.3">
      <c r="A102" s="2">
        <v>3</v>
      </c>
      <c r="B102" s="7" t="s">
        <v>97</v>
      </c>
      <c r="C102" s="4">
        <v>65</v>
      </c>
      <c r="D102" s="4">
        <v>48</v>
      </c>
      <c r="E102" s="4">
        <v>50</v>
      </c>
      <c r="F102" s="5"/>
      <c r="G102" s="6">
        <f t="shared" si="15"/>
        <v>163</v>
      </c>
      <c r="H102" s="4">
        <f t="shared" si="16"/>
        <v>54.333333333333336</v>
      </c>
      <c r="I102" s="4">
        <f t="shared" si="17"/>
        <v>13.583333333333334</v>
      </c>
      <c r="J102" s="5"/>
      <c r="K102" s="4">
        <v>51</v>
      </c>
      <c r="L102" s="4">
        <f t="shared" si="18"/>
        <v>153</v>
      </c>
      <c r="M102" s="4">
        <f t="shared" si="19"/>
        <v>38.25</v>
      </c>
      <c r="N102" s="4">
        <f t="shared" si="20"/>
        <v>51.833333333333336</v>
      </c>
    </row>
    <row r="103" spans="1:15" x14ac:dyDescent="0.3">
      <c r="A103" s="2">
        <v>4</v>
      </c>
      <c r="B103" s="7" t="s">
        <v>103</v>
      </c>
      <c r="C103" s="4">
        <v>55</v>
      </c>
      <c r="D103" s="4">
        <v>54</v>
      </c>
      <c r="E103" s="4">
        <v>47</v>
      </c>
      <c r="F103" s="5"/>
      <c r="G103" s="6">
        <f t="shared" si="15"/>
        <v>156</v>
      </c>
      <c r="H103" s="4">
        <f t="shared" si="16"/>
        <v>52</v>
      </c>
      <c r="I103" s="4">
        <f t="shared" si="17"/>
        <v>13</v>
      </c>
      <c r="J103" s="5"/>
      <c r="K103" s="4">
        <v>58</v>
      </c>
      <c r="L103" s="4">
        <f t="shared" si="18"/>
        <v>174</v>
      </c>
      <c r="M103" s="4">
        <f t="shared" si="19"/>
        <v>43.5</v>
      </c>
      <c r="N103" s="4">
        <f t="shared" si="20"/>
        <v>56.5</v>
      </c>
    </row>
    <row r="104" spans="1:15" x14ac:dyDescent="0.3">
      <c r="A104" s="2">
        <v>5</v>
      </c>
      <c r="B104" s="7" t="s">
        <v>88</v>
      </c>
      <c r="C104" s="4">
        <v>71</v>
      </c>
      <c r="D104" s="4">
        <v>62</v>
      </c>
      <c r="E104" s="4">
        <v>60</v>
      </c>
      <c r="F104" s="5"/>
      <c r="G104" s="6">
        <f t="shared" si="15"/>
        <v>193</v>
      </c>
      <c r="H104" s="4">
        <f t="shared" si="16"/>
        <v>64.333333333333329</v>
      </c>
      <c r="I104" s="4">
        <f t="shared" si="17"/>
        <v>16.083333333333332</v>
      </c>
      <c r="J104" s="5"/>
      <c r="K104" s="4">
        <v>62</v>
      </c>
      <c r="L104" s="4">
        <f t="shared" si="18"/>
        <v>186</v>
      </c>
      <c r="M104" s="4">
        <f t="shared" si="19"/>
        <v>46.5</v>
      </c>
      <c r="N104" s="4">
        <f t="shared" si="20"/>
        <v>62.583333333333329</v>
      </c>
    </row>
    <row r="105" spans="1:15" x14ac:dyDescent="0.3">
      <c r="A105" s="2">
        <v>6</v>
      </c>
      <c r="B105" s="7" t="s">
        <v>93</v>
      </c>
      <c r="C105" s="4">
        <v>81</v>
      </c>
      <c r="D105" s="4">
        <v>77</v>
      </c>
      <c r="E105" s="4">
        <v>76</v>
      </c>
      <c r="F105" s="5"/>
      <c r="G105" s="6">
        <f t="shared" si="15"/>
        <v>234</v>
      </c>
      <c r="H105" s="4">
        <f t="shared" si="16"/>
        <v>78</v>
      </c>
      <c r="I105" s="4">
        <f t="shared" si="17"/>
        <v>19.5</v>
      </c>
      <c r="J105" s="5"/>
      <c r="K105" s="4">
        <v>75</v>
      </c>
      <c r="L105" s="4">
        <f t="shared" si="18"/>
        <v>225</v>
      </c>
      <c r="M105" s="4">
        <f t="shared" si="19"/>
        <v>56.25</v>
      </c>
      <c r="N105" s="4">
        <f t="shared" si="20"/>
        <v>75.75</v>
      </c>
    </row>
    <row r="106" spans="1:15" x14ac:dyDescent="0.3">
      <c r="A106" s="2">
        <v>7</v>
      </c>
      <c r="B106" s="7" t="s">
        <v>87</v>
      </c>
      <c r="C106" s="4">
        <v>66</v>
      </c>
      <c r="D106" s="4">
        <v>54</v>
      </c>
      <c r="E106" s="4">
        <v>54</v>
      </c>
      <c r="F106" s="5"/>
      <c r="G106" s="6">
        <f t="shared" si="15"/>
        <v>174</v>
      </c>
      <c r="H106" s="4">
        <f t="shared" si="16"/>
        <v>58</v>
      </c>
      <c r="I106" s="4">
        <f t="shared" si="17"/>
        <v>14.5</v>
      </c>
      <c r="J106" s="5"/>
      <c r="K106" s="4">
        <v>52</v>
      </c>
      <c r="L106" s="4">
        <f t="shared" si="18"/>
        <v>156</v>
      </c>
      <c r="M106" s="4">
        <f t="shared" si="19"/>
        <v>39</v>
      </c>
      <c r="N106" s="4">
        <f t="shared" si="20"/>
        <v>53.5</v>
      </c>
    </row>
    <row r="107" spans="1:15" x14ac:dyDescent="0.3">
      <c r="A107" s="2">
        <v>8</v>
      </c>
      <c r="B107" s="7" t="s">
        <v>86</v>
      </c>
      <c r="C107" s="4">
        <v>80</v>
      </c>
      <c r="D107" s="4">
        <v>72</v>
      </c>
      <c r="E107" s="4">
        <v>74</v>
      </c>
      <c r="F107" s="5"/>
      <c r="G107" s="6">
        <f t="shared" si="15"/>
        <v>226</v>
      </c>
      <c r="H107" s="4">
        <f t="shared" si="16"/>
        <v>75.333333333333329</v>
      </c>
      <c r="I107" s="4">
        <f t="shared" si="17"/>
        <v>18.833333333333332</v>
      </c>
      <c r="J107" s="5"/>
      <c r="K107" s="4">
        <v>71</v>
      </c>
      <c r="L107" s="4">
        <f t="shared" si="18"/>
        <v>213</v>
      </c>
      <c r="M107" s="4">
        <f t="shared" si="19"/>
        <v>53.25</v>
      </c>
      <c r="N107" s="4">
        <f t="shared" si="20"/>
        <v>72.083333333333329</v>
      </c>
    </row>
    <row r="108" spans="1:15" x14ac:dyDescent="0.3">
      <c r="A108" s="2">
        <v>9</v>
      </c>
      <c r="B108" s="7" t="s">
        <v>85</v>
      </c>
      <c r="C108" s="4">
        <v>52</v>
      </c>
      <c r="D108" s="4">
        <v>38</v>
      </c>
      <c r="E108" s="4">
        <v>38</v>
      </c>
      <c r="F108" s="5"/>
      <c r="G108" s="6">
        <f t="shared" si="15"/>
        <v>128</v>
      </c>
      <c r="H108" s="4">
        <f t="shared" si="16"/>
        <v>42.666666666666664</v>
      </c>
      <c r="I108" s="4">
        <f t="shared" si="17"/>
        <v>10.666666666666666</v>
      </c>
      <c r="J108" s="5"/>
      <c r="K108" s="4">
        <v>48</v>
      </c>
      <c r="L108" s="4">
        <f t="shared" si="18"/>
        <v>144</v>
      </c>
      <c r="M108" s="4">
        <f t="shared" si="19"/>
        <v>36</v>
      </c>
      <c r="N108" s="4">
        <f t="shared" si="20"/>
        <v>46.666666666666664</v>
      </c>
    </row>
    <row r="109" spans="1:15" x14ac:dyDescent="0.3">
      <c r="A109" s="2">
        <v>10</v>
      </c>
      <c r="B109" s="7" t="s">
        <v>105</v>
      </c>
      <c r="C109" s="4">
        <v>39</v>
      </c>
      <c r="D109" s="4">
        <v>41</v>
      </c>
      <c r="E109" s="4">
        <v>41</v>
      </c>
      <c r="F109" s="5"/>
      <c r="G109" s="6">
        <f t="shared" si="15"/>
        <v>121</v>
      </c>
      <c r="H109" s="4">
        <f t="shared" si="16"/>
        <v>40.333333333333336</v>
      </c>
      <c r="I109" s="4">
        <f t="shared" si="17"/>
        <v>10.083333333333334</v>
      </c>
      <c r="J109" s="5"/>
      <c r="K109" s="4">
        <v>38</v>
      </c>
      <c r="L109" s="4">
        <f t="shared" si="18"/>
        <v>114</v>
      </c>
      <c r="M109" s="4">
        <f t="shared" si="19"/>
        <v>28.5</v>
      </c>
      <c r="N109" s="4">
        <f t="shared" si="20"/>
        <v>38.583333333333336</v>
      </c>
    </row>
    <row r="110" spans="1:15" x14ac:dyDescent="0.3">
      <c r="A110" s="2">
        <v>11</v>
      </c>
      <c r="B110" s="7" t="s">
        <v>99</v>
      </c>
      <c r="C110" s="4">
        <v>55</v>
      </c>
      <c r="D110" s="4">
        <v>28</v>
      </c>
      <c r="E110" s="4">
        <v>49</v>
      </c>
      <c r="F110" s="5"/>
      <c r="G110" s="6">
        <f t="shared" si="15"/>
        <v>132</v>
      </c>
      <c r="H110" s="4">
        <f t="shared" si="16"/>
        <v>44</v>
      </c>
      <c r="I110" s="4">
        <f t="shared" si="17"/>
        <v>11</v>
      </c>
      <c r="J110" s="5"/>
      <c r="K110" s="4">
        <v>42</v>
      </c>
      <c r="L110" s="4">
        <f t="shared" si="18"/>
        <v>126</v>
      </c>
      <c r="M110" s="4">
        <f t="shared" si="19"/>
        <v>31.5</v>
      </c>
      <c r="N110" s="4">
        <f t="shared" si="20"/>
        <v>42.5</v>
      </c>
    </row>
    <row r="111" spans="1:15" x14ac:dyDescent="0.3">
      <c r="A111" s="2">
        <v>12</v>
      </c>
      <c r="B111" s="7" t="s">
        <v>104</v>
      </c>
      <c r="C111" s="4">
        <v>62</v>
      </c>
      <c r="D111" s="4">
        <v>54</v>
      </c>
      <c r="E111" s="4">
        <v>52</v>
      </c>
      <c r="F111" s="5"/>
      <c r="G111" s="6">
        <f t="shared" si="15"/>
        <v>168</v>
      </c>
      <c r="H111" s="4">
        <f t="shared" si="16"/>
        <v>56</v>
      </c>
      <c r="I111" s="4">
        <f t="shared" si="17"/>
        <v>14</v>
      </c>
      <c r="J111" s="5"/>
      <c r="K111" s="4">
        <v>55</v>
      </c>
      <c r="L111" s="4">
        <f t="shared" si="18"/>
        <v>165</v>
      </c>
      <c r="M111" s="4">
        <f t="shared" si="19"/>
        <v>41.25</v>
      </c>
      <c r="N111" s="4">
        <f t="shared" si="20"/>
        <v>55.25</v>
      </c>
    </row>
    <row r="112" spans="1:15" x14ac:dyDescent="0.3">
      <c r="A112" s="2">
        <v>13</v>
      </c>
      <c r="B112" s="7" t="s">
        <v>100</v>
      </c>
      <c r="C112" s="4">
        <v>48</v>
      </c>
      <c r="D112" s="4">
        <v>41</v>
      </c>
      <c r="E112" s="4">
        <v>47</v>
      </c>
      <c r="F112" s="5"/>
      <c r="G112" s="6">
        <f t="shared" si="15"/>
        <v>136</v>
      </c>
      <c r="H112" s="4">
        <f t="shared" si="16"/>
        <v>45.333333333333336</v>
      </c>
      <c r="I112" s="4">
        <f t="shared" si="17"/>
        <v>11.333333333333334</v>
      </c>
      <c r="J112" s="5"/>
      <c r="K112" s="4">
        <v>42</v>
      </c>
      <c r="L112" s="4">
        <f t="shared" si="18"/>
        <v>126</v>
      </c>
      <c r="M112" s="4">
        <f t="shared" si="19"/>
        <v>31.5</v>
      </c>
      <c r="N112" s="4">
        <f t="shared" si="20"/>
        <v>42.833333333333336</v>
      </c>
    </row>
    <row r="113" spans="1:14" x14ac:dyDescent="0.3">
      <c r="A113" s="2">
        <v>14</v>
      </c>
      <c r="B113" s="7" t="s">
        <v>84</v>
      </c>
      <c r="C113" s="4">
        <v>71</v>
      </c>
      <c r="D113" s="4">
        <v>69</v>
      </c>
      <c r="E113" s="4">
        <v>59</v>
      </c>
      <c r="F113" s="5"/>
      <c r="G113" s="6">
        <f t="shared" si="15"/>
        <v>199</v>
      </c>
      <c r="H113" s="4">
        <f t="shared" si="16"/>
        <v>66.333333333333329</v>
      </c>
      <c r="I113" s="4">
        <f t="shared" si="17"/>
        <v>16.583333333333332</v>
      </c>
      <c r="J113" s="5"/>
      <c r="K113" s="4">
        <v>62</v>
      </c>
      <c r="L113" s="4">
        <f t="shared" si="18"/>
        <v>186</v>
      </c>
      <c r="M113" s="4">
        <f t="shared" si="19"/>
        <v>46.5</v>
      </c>
      <c r="N113" s="4">
        <f t="shared" si="20"/>
        <v>63.083333333333329</v>
      </c>
    </row>
    <row r="114" spans="1:14" x14ac:dyDescent="0.3">
      <c r="A114" s="2">
        <v>15</v>
      </c>
      <c r="B114" s="7" t="s">
        <v>101</v>
      </c>
      <c r="C114" s="4">
        <v>82</v>
      </c>
      <c r="D114" s="4">
        <v>77</v>
      </c>
      <c r="E114" s="4">
        <v>76</v>
      </c>
      <c r="F114" s="5"/>
      <c r="G114" s="6">
        <f t="shared" si="15"/>
        <v>235</v>
      </c>
      <c r="H114" s="4">
        <f t="shared" si="16"/>
        <v>78.333333333333329</v>
      </c>
      <c r="I114" s="4">
        <f t="shared" si="17"/>
        <v>19.583333333333332</v>
      </c>
      <c r="J114" s="5"/>
      <c r="K114" s="4">
        <v>74</v>
      </c>
      <c r="L114" s="4">
        <f t="shared" si="18"/>
        <v>222</v>
      </c>
      <c r="M114" s="4">
        <f t="shared" si="19"/>
        <v>55.5</v>
      </c>
      <c r="N114" s="4">
        <f t="shared" si="20"/>
        <v>75.083333333333329</v>
      </c>
    </row>
    <row r="115" spans="1:14" x14ac:dyDescent="0.3">
      <c r="A115" s="2">
        <v>16</v>
      </c>
      <c r="B115" s="7" t="s">
        <v>92</v>
      </c>
      <c r="C115" s="4">
        <v>65</v>
      </c>
      <c r="D115" s="4">
        <v>54</v>
      </c>
      <c r="E115" s="4">
        <v>38</v>
      </c>
      <c r="F115" s="5"/>
      <c r="G115" s="6">
        <f t="shared" si="15"/>
        <v>157</v>
      </c>
      <c r="H115" s="4">
        <f t="shared" si="16"/>
        <v>52.333333333333336</v>
      </c>
      <c r="I115" s="4">
        <f t="shared" si="17"/>
        <v>13.083333333333334</v>
      </c>
      <c r="J115" s="5"/>
      <c r="K115" s="4">
        <v>50</v>
      </c>
      <c r="L115" s="4">
        <f t="shared" si="18"/>
        <v>150</v>
      </c>
      <c r="M115" s="4">
        <f t="shared" si="19"/>
        <v>37.5</v>
      </c>
      <c r="N115" s="4">
        <f t="shared" si="20"/>
        <v>50.583333333333336</v>
      </c>
    </row>
    <row r="116" spans="1:14" x14ac:dyDescent="0.3">
      <c r="A116" s="2">
        <v>17</v>
      </c>
      <c r="B116" s="7" t="s">
        <v>91</v>
      </c>
      <c r="C116" s="4">
        <v>38</v>
      </c>
      <c r="D116" s="4">
        <v>40</v>
      </c>
      <c r="E116" s="4">
        <v>44</v>
      </c>
      <c r="F116" s="5"/>
      <c r="G116" s="6">
        <f t="shared" si="15"/>
        <v>122</v>
      </c>
      <c r="H116" s="4">
        <f t="shared" si="16"/>
        <v>40.666666666666664</v>
      </c>
      <c r="I116" s="4">
        <f t="shared" si="17"/>
        <v>10.166666666666666</v>
      </c>
      <c r="J116" s="5"/>
      <c r="K116" s="4">
        <v>41</v>
      </c>
      <c r="L116" s="4">
        <f t="shared" si="18"/>
        <v>123</v>
      </c>
      <c r="M116" s="4">
        <f t="shared" si="19"/>
        <v>30.75</v>
      </c>
      <c r="N116" s="4">
        <f t="shared" si="20"/>
        <v>40.916666666666664</v>
      </c>
    </row>
    <row r="117" spans="1:14" x14ac:dyDescent="0.3">
      <c r="A117" s="2">
        <v>18</v>
      </c>
      <c r="B117" s="7" t="s">
        <v>95</v>
      </c>
      <c r="C117" s="4">
        <v>45</v>
      </c>
      <c r="D117" s="4">
        <v>78</v>
      </c>
      <c r="E117" s="4">
        <v>62</v>
      </c>
      <c r="F117" s="5"/>
      <c r="G117" s="6">
        <f t="shared" si="15"/>
        <v>185</v>
      </c>
      <c r="H117" s="4">
        <f t="shared" si="16"/>
        <v>61.666666666666664</v>
      </c>
      <c r="I117" s="4">
        <f t="shared" si="17"/>
        <v>15.416666666666666</v>
      </c>
      <c r="J117" s="5"/>
      <c r="K117" s="4">
        <v>68</v>
      </c>
      <c r="L117" s="4">
        <f t="shared" si="18"/>
        <v>204</v>
      </c>
      <c r="M117" s="4">
        <f t="shared" si="19"/>
        <v>51</v>
      </c>
      <c r="N117" s="4">
        <f t="shared" si="20"/>
        <v>66.416666666666671</v>
      </c>
    </row>
    <row r="118" spans="1:14" x14ac:dyDescent="0.3">
      <c r="A118" s="2">
        <v>19</v>
      </c>
      <c r="B118" s="7" t="s">
        <v>102</v>
      </c>
      <c r="C118" s="4">
        <v>55</v>
      </c>
      <c r="D118" s="4">
        <v>38</v>
      </c>
      <c r="E118" s="4">
        <v>28</v>
      </c>
      <c r="F118" s="5"/>
      <c r="G118" s="6">
        <f t="shared" si="15"/>
        <v>121</v>
      </c>
      <c r="H118" s="4">
        <f t="shared" si="16"/>
        <v>40.333333333333336</v>
      </c>
      <c r="I118" s="4">
        <f t="shared" si="17"/>
        <v>10.083333333333334</v>
      </c>
      <c r="J118" s="5"/>
      <c r="K118" s="4">
        <v>44</v>
      </c>
      <c r="L118" s="4">
        <f t="shared" si="18"/>
        <v>132</v>
      </c>
      <c r="M118" s="4">
        <f t="shared" si="19"/>
        <v>33</v>
      </c>
      <c r="N118" s="4">
        <f t="shared" si="20"/>
        <v>43.083333333333336</v>
      </c>
    </row>
    <row r="119" spans="1:14" x14ac:dyDescent="0.3">
      <c r="A119" s="2">
        <v>20</v>
      </c>
      <c r="B119" s="7" t="s">
        <v>98</v>
      </c>
      <c r="C119" s="4">
        <v>60</v>
      </c>
      <c r="D119" s="4">
        <v>45</v>
      </c>
      <c r="E119" s="4">
        <v>39</v>
      </c>
      <c r="F119" s="5"/>
      <c r="G119" s="6">
        <f t="shared" si="15"/>
        <v>144</v>
      </c>
      <c r="H119" s="4">
        <f t="shared" si="16"/>
        <v>48</v>
      </c>
      <c r="I119" s="4">
        <f t="shared" si="17"/>
        <v>12</v>
      </c>
      <c r="J119" s="5"/>
      <c r="K119" s="4">
        <v>47</v>
      </c>
      <c r="L119" s="4">
        <f t="shared" si="18"/>
        <v>141</v>
      </c>
      <c r="M119" s="4">
        <f t="shared" si="19"/>
        <v>35.25</v>
      </c>
      <c r="N119" s="4">
        <f t="shared" si="20"/>
        <v>47.25</v>
      </c>
    </row>
    <row r="120" spans="1:14" x14ac:dyDescent="0.3">
      <c r="A120" s="2">
        <v>21</v>
      </c>
      <c r="B120" s="7" t="s">
        <v>83</v>
      </c>
      <c r="C120" s="4">
        <v>74</v>
      </c>
      <c r="D120" s="4">
        <v>69</v>
      </c>
      <c r="E120" s="4">
        <v>65</v>
      </c>
      <c r="F120" s="5"/>
      <c r="G120" s="6">
        <f t="shared" si="15"/>
        <v>208</v>
      </c>
      <c r="H120" s="4">
        <f t="shared" si="16"/>
        <v>69.333333333333329</v>
      </c>
      <c r="I120" s="4">
        <f t="shared" si="17"/>
        <v>17.333333333333332</v>
      </c>
      <c r="J120" s="5"/>
      <c r="K120" s="4">
        <v>62</v>
      </c>
      <c r="L120" s="4">
        <f t="shared" si="18"/>
        <v>186</v>
      </c>
      <c r="M120" s="4">
        <f t="shared" si="19"/>
        <v>46.5</v>
      </c>
      <c r="N120" s="4">
        <f t="shared" si="20"/>
        <v>63.833333333333329</v>
      </c>
    </row>
    <row r="121" spans="1:14" x14ac:dyDescent="0.3">
      <c r="A121" s="2">
        <v>22</v>
      </c>
      <c r="B121" s="7" t="s">
        <v>106</v>
      </c>
      <c r="C121" s="4">
        <v>55</v>
      </c>
      <c r="D121" s="4">
        <v>65</v>
      </c>
      <c r="E121" s="4">
        <v>59</v>
      </c>
      <c r="F121" s="5"/>
      <c r="G121" s="6">
        <f t="shared" si="15"/>
        <v>179</v>
      </c>
      <c r="H121" s="4">
        <f t="shared" si="16"/>
        <v>59.666666666666664</v>
      </c>
      <c r="I121" s="4">
        <f t="shared" si="17"/>
        <v>14.916666666666666</v>
      </c>
      <c r="J121" s="5"/>
      <c r="K121" s="4">
        <v>51</v>
      </c>
      <c r="L121" s="4">
        <f t="shared" si="18"/>
        <v>153</v>
      </c>
      <c r="M121" s="4">
        <f t="shared" si="19"/>
        <v>38.25</v>
      </c>
      <c r="N121" s="4">
        <f t="shared" si="20"/>
        <v>53.166666666666664</v>
      </c>
    </row>
    <row r="122" spans="1:14" x14ac:dyDescent="0.3">
      <c r="A122" s="2">
        <v>23</v>
      </c>
      <c r="B122" s="7" t="s">
        <v>90</v>
      </c>
      <c r="C122" s="4">
        <v>54</v>
      </c>
      <c r="D122" s="4">
        <v>54</v>
      </c>
      <c r="E122" s="4">
        <v>55</v>
      </c>
      <c r="F122" s="5"/>
      <c r="G122" s="6">
        <f t="shared" si="15"/>
        <v>163</v>
      </c>
      <c r="H122" s="4">
        <f t="shared" si="16"/>
        <v>54.333333333333336</v>
      </c>
      <c r="I122" s="4">
        <f t="shared" si="17"/>
        <v>13.583333333333334</v>
      </c>
      <c r="J122" s="5"/>
      <c r="K122" s="4">
        <v>47</v>
      </c>
      <c r="L122" s="4">
        <f t="shared" si="18"/>
        <v>141</v>
      </c>
      <c r="M122" s="4">
        <f t="shared" si="19"/>
        <v>35.25</v>
      </c>
      <c r="N122" s="4">
        <f t="shared" si="20"/>
        <v>48.833333333333336</v>
      </c>
    </row>
    <row r="123" spans="1:14" x14ac:dyDescent="0.3">
      <c r="A123" s="2">
        <v>24</v>
      </c>
      <c r="B123" s="7" t="s">
        <v>96</v>
      </c>
      <c r="C123" s="4">
        <v>50</v>
      </c>
      <c r="D123" s="4">
        <v>50</v>
      </c>
      <c r="E123" s="4">
        <v>50</v>
      </c>
      <c r="F123" s="5"/>
      <c r="G123" s="6">
        <f t="shared" si="15"/>
        <v>150</v>
      </c>
      <c r="H123" s="4">
        <f t="shared" si="16"/>
        <v>50</v>
      </c>
      <c r="I123" s="4">
        <f t="shared" si="17"/>
        <v>12.5</v>
      </c>
      <c r="J123" s="5"/>
      <c r="K123" s="4">
        <v>50</v>
      </c>
      <c r="L123" s="4">
        <f t="shared" si="18"/>
        <v>150</v>
      </c>
      <c r="M123" s="4">
        <f t="shared" si="19"/>
        <v>37.5</v>
      </c>
      <c r="N123" s="4">
        <f t="shared" si="20"/>
        <v>50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82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21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7" t="s">
        <v>89</v>
      </c>
      <c r="C147" s="4">
        <v>40</v>
      </c>
      <c r="D147" s="4">
        <v>38</v>
      </c>
      <c r="E147" s="4">
        <v>32</v>
      </c>
      <c r="F147" s="5"/>
      <c r="G147" s="6">
        <f>SUM(C147:E147)</f>
        <v>110</v>
      </c>
      <c r="H147" s="4">
        <f>AVERAGE(C147:E147)</f>
        <v>36.666666666666664</v>
      </c>
      <c r="I147" s="4">
        <f>G147/12</f>
        <v>9.1666666666666661</v>
      </c>
      <c r="J147" s="5"/>
      <c r="K147" s="4">
        <v>38</v>
      </c>
      <c r="L147" s="4">
        <f>K147*3</f>
        <v>114</v>
      </c>
      <c r="M147" s="4">
        <f>L147/4</f>
        <v>28.5</v>
      </c>
      <c r="N147" s="4">
        <f>M147+I147</f>
        <v>37.666666666666664</v>
      </c>
    </row>
    <row r="148" spans="1:14" x14ac:dyDescent="0.3">
      <c r="A148" s="2">
        <v>2</v>
      </c>
      <c r="B148" s="7" t="s">
        <v>94</v>
      </c>
      <c r="C148" s="4">
        <v>43</v>
      </c>
      <c r="D148" s="4">
        <v>40</v>
      </c>
      <c r="E148" s="4">
        <v>42</v>
      </c>
      <c r="F148" s="5"/>
      <c r="G148" s="6">
        <f t="shared" ref="G148:G170" si="21">SUM(C148:E148)</f>
        <v>125</v>
      </c>
      <c r="H148" s="4">
        <f t="shared" ref="H148:H170" si="22">AVERAGE(C148:E148)</f>
        <v>41.666666666666664</v>
      </c>
      <c r="I148" s="4">
        <f t="shared" ref="I148:I170" si="23">G148/12</f>
        <v>10.416666666666666</v>
      </c>
      <c r="J148" s="5"/>
      <c r="K148" s="4">
        <v>41</v>
      </c>
      <c r="L148" s="4">
        <f t="shared" ref="L148:L170" si="24">K148*3</f>
        <v>123</v>
      </c>
      <c r="M148" s="4">
        <f t="shared" ref="M148:M170" si="25">L148/4</f>
        <v>30.75</v>
      </c>
      <c r="N148" s="4">
        <f t="shared" ref="N148:N170" si="26">M148+I148</f>
        <v>41.166666666666664</v>
      </c>
    </row>
    <row r="149" spans="1:14" x14ac:dyDescent="0.3">
      <c r="A149" s="2">
        <v>3</v>
      </c>
      <c r="B149" s="7" t="s">
        <v>97</v>
      </c>
      <c r="C149" s="4">
        <v>56</v>
      </c>
      <c r="D149" s="4">
        <v>49</v>
      </c>
      <c r="E149" s="4">
        <v>28</v>
      </c>
      <c r="F149" s="5"/>
      <c r="G149" s="6">
        <f t="shared" si="21"/>
        <v>133</v>
      </c>
      <c r="H149" s="4">
        <f t="shared" si="22"/>
        <v>44.333333333333336</v>
      </c>
      <c r="I149" s="4">
        <f t="shared" si="23"/>
        <v>11.083333333333334</v>
      </c>
      <c r="J149" s="5"/>
      <c r="K149" s="4">
        <v>44</v>
      </c>
      <c r="L149" s="4">
        <f t="shared" si="24"/>
        <v>132</v>
      </c>
      <c r="M149" s="4">
        <f t="shared" si="25"/>
        <v>33</v>
      </c>
      <c r="N149" s="4">
        <f t="shared" si="26"/>
        <v>44.083333333333336</v>
      </c>
    </row>
    <row r="150" spans="1:14" x14ac:dyDescent="0.3">
      <c r="A150" s="2">
        <v>4</v>
      </c>
      <c r="B150" s="7" t="s">
        <v>103</v>
      </c>
      <c r="C150" s="4">
        <v>32</v>
      </c>
      <c r="D150" s="4">
        <v>53</v>
      </c>
      <c r="E150" s="4">
        <v>42</v>
      </c>
      <c r="F150" s="5"/>
      <c r="G150" s="6">
        <f t="shared" si="21"/>
        <v>127</v>
      </c>
      <c r="H150" s="4">
        <f t="shared" si="22"/>
        <v>42.333333333333336</v>
      </c>
      <c r="I150" s="4">
        <f t="shared" si="23"/>
        <v>10.583333333333334</v>
      </c>
      <c r="J150" s="5"/>
      <c r="K150" s="4">
        <v>42</v>
      </c>
      <c r="L150" s="4">
        <f t="shared" si="24"/>
        <v>126</v>
      </c>
      <c r="M150" s="4">
        <f t="shared" si="25"/>
        <v>31.5</v>
      </c>
      <c r="N150" s="4">
        <f t="shared" si="26"/>
        <v>42.083333333333336</v>
      </c>
    </row>
    <row r="151" spans="1:14" x14ac:dyDescent="0.3">
      <c r="A151" s="2">
        <v>5</v>
      </c>
      <c r="B151" s="7" t="s">
        <v>88</v>
      </c>
      <c r="C151" s="4">
        <v>69</v>
      </c>
      <c r="D151" s="4">
        <v>71</v>
      </c>
      <c r="E151" s="4">
        <v>70</v>
      </c>
      <c r="F151" s="5"/>
      <c r="G151" s="6">
        <f t="shared" si="21"/>
        <v>210</v>
      </c>
      <c r="H151" s="4">
        <f t="shared" si="22"/>
        <v>70</v>
      </c>
      <c r="I151" s="4">
        <f t="shared" si="23"/>
        <v>17.5</v>
      </c>
      <c r="J151" s="5"/>
      <c r="K151" s="4">
        <v>65</v>
      </c>
      <c r="L151" s="4">
        <f t="shared" si="24"/>
        <v>195</v>
      </c>
      <c r="M151" s="4">
        <f t="shared" si="25"/>
        <v>48.75</v>
      </c>
      <c r="N151" s="4">
        <f t="shared" si="26"/>
        <v>66.25</v>
      </c>
    </row>
    <row r="152" spans="1:14" x14ac:dyDescent="0.3">
      <c r="A152" s="2">
        <v>6</v>
      </c>
      <c r="B152" s="7" t="s">
        <v>93</v>
      </c>
      <c r="C152" s="4">
        <v>80</v>
      </c>
      <c r="D152" s="4">
        <v>82</v>
      </c>
      <c r="E152" s="4">
        <v>80</v>
      </c>
      <c r="F152" s="5"/>
      <c r="G152" s="6">
        <f t="shared" si="21"/>
        <v>242</v>
      </c>
      <c r="H152" s="4">
        <f t="shared" si="22"/>
        <v>80.666666666666671</v>
      </c>
      <c r="I152" s="4">
        <f t="shared" si="23"/>
        <v>20.166666666666668</v>
      </c>
      <c r="J152" s="5"/>
      <c r="K152" s="4">
        <v>83</v>
      </c>
      <c r="L152" s="4">
        <f t="shared" si="24"/>
        <v>249</v>
      </c>
      <c r="M152" s="4">
        <f t="shared" si="25"/>
        <v>62.25</v>
      </c>
      <c r="N152" s="4">
        <f t="shared" si="26"/>
        <v>82.416666666666671</v>
      </c>
    </row>
    <row r="153" spans="1:14" x14ac:dyDescent="0.3">
      <c r="A153" s="2">
        <v>7</v>
      </c>
      <c r="B153" s="7" t="s">
        <v>87</v>
      </c>
      <c r="C153" s="4">
        <v>55</v>
      </c>
      <c r="D153" s="4">
        <v>59</v>
      </c>
      <c r="E153" s="4">
        <v>54</v>
      </c>
      <c r="F153" s="5"/>
      <c r="G153" s="6">
        <f t="shared" si="21"/>
        <v>168</v>
      </c>
      <c r="H153" s="4">
        <f t="shared" si="22"/>
        <v>56</v>
      </c>
      <c r="I153" s="4">
        <f t="shared" si="23"/>
        <v>14</v>
      </c>
      <c r="J153" s="5"/>
      <c r="K153" s="4">
        <v>54</v>
      </c>
      <c r="L153" s="4">
        <f t="shared" si="24"/>
        <v>162</v>
      </c>
      <c r="M153" s="4">
        <f t="shared" si="25"/>
        <v>40.5</v>
      </c>
      <c r="N153" s="4">
        <f t="shared" si="26"/>
        <v>54.5</v>
      </c>
    </row>
    <row r="154" spans="1:14" x14ac:dyDescent="0.3">
      <c r="A154" s="2">
        <v>8</v>
      </c>
      <c r="B154" s="7" t="s">
        <v>86</v>
      </c>
      <c r="C154" s="4">
        <v>77</v>
      </c>
      <c r="D154" s="4">
        <v>79</v>
      </c>
      <c r="E154" s="4">
        <v>72</v>
      </c>
      <c r="F154" s="5"/>
      <c r="G154" s="6">
        <f t="shared" si="21"/>
        <v>228</v>
      </c>
      <c r="H154" s="4">
        <f t="shared" si="22"/>
        <v>76</v>
      </c>
      <c r="I154" s="4">
        <f t="shared" si="23"/>
        <v>19</v>
      </c>
      <c r="J154" s="5"/>
      <c r="K154" s="4">
        <v>74</v>
      </c>
      <c r="L154" s="4">
        <f t="shared" si="24"/>
        <v>222</v>
      </c>
      <c r="M154" s="4">
        <f t="shared" si="25"/>
        <v>55.5</v>
      </c>
      <c r="N154" s="4">
        <f t="shared" si="26"/>
        <v>74.5</v>
      </c>
    </row>
    <row r="155" spans="1:14" x14ac:dyDescent="0.3">
      <c r="A155" s="2">
        <v>9</v>
      </c>
      <c r="B155" s="7" t="s">
        <v>85</v>
      </c>
      <c r="C155" s="4">
        <v>62</v>
      </c>
      <c r="D155" s="4">
        <v>54</v>
      </c>
      <c r="E155" s="4">
        <v>39</v>
      </c>
      <c r="F155" s="5"/>
      <c r="G155" s="6">
        <f t="shared" si="21"/>
        <v>155</v>
      </c>
      <c r="H155" s="4">
        <f t="shared" si="22"/>
        <v>51.666666666666664</v>
      </c>
      <c r="I155" s="4">
        <f t="shared" si="23"/>
        <v>12.916666666666666</v>
      </c>
      <c r="J155" s="5"/>
      <c r="K155" s="4">
        <v>50</v>
      </c>
      <c r="L155" s="4">
        <f t="shared" si="24"/>
        <v>150</v>
      </c>
      <c r="M155" s="4">
        <f t="shared" si="25"/>
        <v>37.5</v>
      </c>
      <c r="N155" s="4">
        <f t="shared" si="26"/>
        <v>50.416666666666664</v>
      </c>
    </row>
    <row r="156" spans="1:14" x14ac:dyDescent="0.3">
      <c r="A156" s="2">
        <v>10</v>
      </c>
      <c r="B156" s="7" t="s">
        <v>105</v>
      </c>
      <c r="C156" s="4">
        <v>58</v>
      </c>
      <c r="D156" s="4">
        <v>38</v>
      </c>
      <c r="E156" s="4">
        <v>42</v>
      </c>
      <c r="F156" s="5"/>
      <c r="G156" s="6">
        <f t="shared" si="21"/>
        <v>138</v>
      </c>
      <c r="H156" s="4">
        <f t="shared" si="22"/>
        <v>46</v>
      </c>
      <c r="I156" s="4">
        <f t="shared" si="23"/>
        <v>11.5</v>
      </c>
      <c r="J156" s="5"/>
      <c r="K156" s="4">
        <v>39</v>
      </c>
      <c r="L156" s="4">
        <f t="shared" si="24"/>
        <v>117</v>
      </c>
      <c r="M156" s="4">
        <f t="shared" si="25"/>
        <v>29.25</v>
      </c>
      <c r="N156" s="4">
        <f t="shared" si="26"/>
        <v>40.75</v>
      </c>
    </row>
    <row r="157" spans="1:14" x14ac:dyDescent="0.3">
      <c r="A157" s="2">
        <v>11</v>
      </c>
      <c r="B157" s="7" t="s">
        <v>99</v>
      </c>
      <c r="C157" s="4">
        <v>41</v>
      </c>
      <c r="D157" s="4">
        <v>45</v>
      </c>
      <c r="E157" s="4">
        <v>43</v>
      </c>
      <c r="F157" s="5"/>
      <c r="G157" s="6">
        <f t="shared" si="21"/>
        <v>129</v>
      </c>
      <c r="H157" s="4">
        <f t="shared" si="22"/>
        <v>43</v>
      </c>
      <c r="I157" s="4">
        <f t="shared" si="23"/>
        <v>10.75</v>
      </c>
      <c r="J157" s="5"/>
      <c r="K157" s="4">
        <v>41</v>
      </c>
      <c r="L157" s="4">
        <f t="shared" si="24"/>
        <v>123</v>
      </c>
      <c r="M157" s="4">
        <f t="shared" si="25"/>
        <v>30.75</v>
      </c>
      <c r="N157" s="4">
        <f t="shared" si="26"/>
        <v>41.5</v>
      </c>
    </row>
    <row r="158" spans="1:14" x14ac:dyDescent="0.3">
      <c r="A158" s="2">
        <v>12</v>
      </c>
      <c r="B158" s="7" t="s">
        <v>104</v>
      </c>
      <c r="C158" s="4">
        <v>39</v>
      </c>
      <c r="D158" s="4">
        <v>29</v>
      </c>
      <c r="E158" s="4">
        <v>54</v>
      </c>
      <c r="F158" s="5"/>
      <c r="G158" s="6">
        <f t="shared" si="21"/>
        <v>122</v>
      </c>
      <c r="H158" s="4">
        <f t="shared" si="22"/>
        <v>40.666666666666664</v>
      </c>
      <c r="I158" s="4">
        <f t="shared" si="23"/>
        <v>10.166666666666666</v>
      </c>
      <c r="J158" s="5"/>
      <c r="K158" s="4">
        <v>42</v>
      </c>
      <c r="L158" s="4">
        <f t="shared" si="24"/>
        <v>126</v>
      </c>
      <c r="M158" s="4">
        <f t="shared" si="25"/>
        <v>31.5</v>
      </c>
      <c r="N158" s="4">
        <f t="shared" si="26"/>
        <v>41.666666666666664</v>
      </c>
    </row>
    <row r="159" spans="1:14" x14ac:dyDescent="0.3">
      <c r="A159" s="2">
        <v>13</v>
      </c>
      <c r="B159" s="7" t="s">
        <v>100</v>
      </c>
      <c r="C159" s="4">
        <v>45</v>
      </c>
      <c r="D159" s="4">
        <v>44</v>
      </c>
      <c r="E159" s="4">
        <v>44</v>
      </c>
      <c r="F159" s="5"/>
      <c r="G159" s="6">
        <f t="shared" si="21"/>
        <v>133</v>
      </c>
      <c r="H159" s="4">
        <f t="shared" si="22"/>
        <v>44.333333333333336</v>
      </c>
      <c r="I159" s="4">
        <f t="shared" si="23"/>
        <v>11.083333333333334</v>
      </c>
      <c r="J159" s="5"/>
      <c r="K159" s="4">
        <v>33</v>
      </c>
      <c r="L159" s="4">
        <f t="shared" si="24"/>
        <v>99</v>
      </c>
      <c r="M159" s="4">
        <f t="shared" si="25"/>
        <v>24.75</v>
      </c>
      <c r="N159" s="4">
        <f t="shared" si="26"/>
        <v>35.833333333333336</v>
      </c>
    </row>
    <row r="160" spans="1:14" x14ac:dyDescent="0.3">
      <c r="A160" s="2">
        <v>14</v>
      </c>
      <c r="B160" s="7" t="s">
        <v>84</v>
      </c>
      <c r="C160" s="4">
        <v>52</v>
      </c>
      <c r="D160" s="4">
        <v>40</v>
      </c>
      <c r="E160" s="4">
        <v>48</v>
      </c>
      <c r="F160" s="5"/>
      <c r="G160" s="6">
        <f t="shared" si="21"/>
        <v>140</v>
      </c>
      <c r="H160" s="4">
        <f t="shared" si="22"/>
        <v>46.666666666666664</v>
      </c>
      <c r="I160" s="4">
        <f t="shared" si="23"/>
        <v>11.666666666666666</v>
      </c>
      <c r="J160" s="5"/>
      <c r="K160" s="4">
        <v>45</v>
      </c>
      <c r="L160" s="4">
        <f t="shared" si="24"/>
        <v>135</v>
      </c>
      <c r="M160" s="4">
        <f t="shared" si="25"/>
        <v>33.75</v>
      </c>
      <c r="N160" s="4">
        <f t="shared" si="26"/>
        <v>45.416666666666664</v>
      </c>
    </row>
    <row r="161" spans="1:14" x14ac:dyDescent="0.3">
      <c r="A161" s="2">
        <v>15</v>
      </c>
      <c r="B161" s="7" t="s">
        <v>101</v>
      </c>
      <c r="C161" s="4">
        <v>69</v>
      </c>
      <c r="D161" s="4">
        <v>59</v>
      </c>
      <c r="E161" s="4">
        <v>53</v>
      </c>
      <c r="F161" s="5"/>
      <c r="G161" s="6">
        <f t="shared" si="21"/>
        <v>181</v>
      </c>
      <c r="H161" s="4">
        <f t="shared" si="22"/>
        <v>60.333333333333336</v>
      </c>
      <c r="I161" s="4">
        <f t="shared" si="23"/>
        <v>15.083333333333334</v>
      </c>
      <c r="J161" s="5"/>
      <c r="K161" s="4">
        <v>58</v>
      </c>
      <c r="L161" s="4">
        <f t="shared" si="24"/>
        <v>174</v>
      </c>
      <c r="M161" s="4">
        <f t="shared" si="25"/>
        <v>43.5</v>
      </c>
      <c r="N161" s="4">
        <f t="shared" si="26"/>
        <v>58.583333333333336</v>
      </c>
    </row>
    <row r="162" spans="1:14" x14ac:dyDescent="0.3">
      <c r="A162" s="2">
        <v>16</v>
      </c>
      <c r="B162" s="7" t="s">
        <v>92</v>
      </c>
      <c r="C162" s="4">
        <v>41</v>
      </c>
      <c r="D162" s="4">
        <v>39</v>
      </c>
      <c r="E162" s="4">
        <v>39</v>
      </c>
      <c r="F162" s="5"/>
      <c r="G162" s="6">
        <f t="shared" si="21"/>
        <v>119</v>
      </c>
      <c r="H162" s="4">
        <f t="shared" si="22"/>
        <v>39.666666666666664</v>
      </c>
      <c r="I162" s="4">
        <f t="shared" si="23"/>
        <v>9.9166666666666661</v>
      </c>
      <c r="J162" s="5"/>
      <c r="K162" s="4">
        <v>32</v>
      </c>
      <c r="L162" s="4">
        <f t="shared" si="24"/>
        <v>96</v>
      </c>
      <c r="M162" s="4">
        <f t="shared" si="25"/>
        <v>24</v>
      </c>
      <c r="N162" s="4">
        <f t="shared" si="26"/>
        <v>33.916666666666664</v>
      </c>
    </row>
    <row r="163" spans="1:14" x14ac:dyDescent="0.3">
      <c r="A163" s="2">
        <v>17</v>
      </c>
      <c r="B163" s="7" t="s">
        <v>91</v>
      </c>
      <c r="C163" s="4">
        <v>48</v>
      </c>
      <c r="D163" s="4">
        <v>42</v>
      </c>
      <c r="E163" s="4">
        <v>44</v>
      </c>
      <c r="F163" s="5"/>
      <c r="G163" s="6">
        <f t="shared" si="21"/>
        <v>134</v>
      </c>
      <c r="H163" s="4">
        <f t="shared" si="22"/>
        <v>44.666666666666664</v>
      </c>
      <c r="I163" s="4">
        <f t="shared" si="23"/>
        <v>11.166666666666666</v>
      </c>
      <c r="J163" s="5"/>
      <c r="K163" s="4">
        <v>45</v>
      </c>
      <c r="L163" s="4">
        <f t="shared" si="24"/>
        <v>135</v>
      </c>
      <c r="M163" s="4">
        <f t="shared" si="25"/>
        <v>33.75</v>
      </c>
      <c r="N163" s="4">
        <f t="shared" si="26"/>
        <v>44.916666666666664</v>
      </c>
    </row>
    <row r="164" spans="1:14" x14ac:dyDescent="0.3">
      <c r="A164" s="2">
        <v>18</v>
      </c>
      <c r="B164" s="7" t="s">
        <v>95</v>
      </c>
      <c r="C164" s="4">
        <v>33</v>
      </c>
      <c r="D164" s="4">
        <v>28</v>
      </c>
      <c r="E164" s="4">
        <v>52</v>
      </c>
      <c r="F164" s="5"/>
      <c r="G164" s="6">
        <f t="shared" si="21"/>
        <v>113</v>
      </c>
      <c r="H164" s="4">
        <f t="shared" si="22"/>
        <v>37.666666666666664</v>
      </c>
      <c r="I164" s="4">
        <f t="shared" si="23"/>
        <v>9.4166666666666661</v>
      </c>
      <c r="J164" s="5"/>
      <c r="K164" s="4">
        <v>41</v>
      </c>
      <c r="L164" s="4">
        <f t="shared" si="24"/>
        <v>123</v>
      </c>
      <c r="M164" s="4">
        <f t="shared" si="25"/>
        <v>30.75</v>
      </c>
      <c r="N164" s="4">
        <f t="shared" si="26"/>
        <v>40.166666666666664</v>
      </c>
    </row>
    <row r="165" spans="1:14" x14ac:dyDescent="0.3">
      <c r="A165" s="2">
        <v>19</v>
      </c>
      <c r="B165" s="7" t="s">
        <v>102</v>
      </c>
      <c r="C165" s="4">
        <v>52</v>
      </c>
      <c r="D165" s="4">
        <v>39</v>
      </c>
      <c r="E165" s="4">
        <v>39</v>
      </c>
      <c r="F165" s="5"/>
      <c r="G165" s="6">
        <f t="shared" si="21"/>
        <v>130</v>
      </c>
      <c r="H165" s="4">
        <f t="shared" si="22"/>
        <v>43.333333333333336</v>
      </c>
      <c r="I165" s="4">
        <f t="shared" si="23"/>
        <v>10.833333333333334</v>
      </c>
      <c r="J165" s="5"/>
      <c r="K165" s="4">
        <v>38</v>
      </c>
      <c r="L165" s="4">
        <f t="shared" si="24"/>
        <v>114</v>
      </c>
      <c r="M165" s="4">
        <f t="shared" si="25"/>
        <v>28.5</v>
      </c>
      <c r="N165" s="4">
        <f t="shared" si="26"/>
        <v>39.333333333333336</v>
      </c>
    </row>
    <row r="166" spans="1:14" x14ac:dyDescent="0.3">
      <c r="A166" s="2">
        <v>20</v>
      </c>
      <c r="B166" s="7" t="s">
        <v>98</v>
      </c>
      <c r="C166" s="4">
        <v>39</v>
      </c>
      <c r="D166" s="4">
        <v>44</v>
      </c>
      <c r="E166" s="4">
        <v>47</v>
      </c>
      <c r="F166" s="5"/>
      <c r="G166" s="6">
        <f t="shared" si="21"/>
        <v>130</v>
      </c>
      <c r="H166" s="4">
        <f t="shared" si="22"/>
        <v>43.333333333333336</v>
      </c>
      <c r="I166" s="4">
        <f t="shared" si="23"/>
        <v>10.833333333333334</v>
      </c>
      <c r="J166" s="5"/>
      <c r="K166" s="4">
        <v>34</v>
      </c>
      <c r="L166" s="4">
        <f t="shared" si="24"/>
        <v>102</v>
      </c>
      <c r="M166" s="4">
        <f t="shared" si="25"/>
        <v>25.5</v>
      </c>
      <c r="N166" s="4">
        <f t="shared" si="26"/>
        <v>36.333333333333336</v>
      </c>
    </row>
    <row r="167" spans="1:14" x14ac:dyDescent="0.3">
      <c r="A167" s="2">
        <v>21</v>
      </c>
      <c r="B167" s="7" t="s">
        <v>83</v>
      </c>
      <c r="C167" s="4">
        <v>58</v>
      </c>
      <c r="D167" s="4">
        <v>49</v>
      </c>
      <c r="E167" s="4">
        <v>50</v>
      </c>
      <c r="F167" s="5"/>
      <c r="G167" s="6">
        <f t="shared" si="21"/>
        <v>157</v>
      </c>
      <c r="H167" s="4">
        <f t="shared" si="22"/>
        <v>52.333333333333336</v>
      </c>
      <c r="I167" s="4">
        <f t="shared" si="23"/>
        <v>13.083333333333334</v>
      </c>
      <c r="J167" s="5"/>
      <c r="K167" s="4">
        <v>41</v>
      </c>
      <c r="L167" s="4">
        <f t="shared" si="24"/>
        <v>123</v>
      </c>
      <c r="M167" s="4">
        <f t="shared" si="25"/>
        <v>30.75</v>
      </c>
      <c r="N167" s="4">
        <f t="shared" si="26"/>
        <v>43.833333333333336</v>
      </c>
    </row>
    <row r="168" spans="1:14" x14ac:dyDescent="0.3">
      <c r="A168" s="2">
        <v>22</v>
      </c>
      <c r="B168" s="7" t="s">
        <v>106</v>
      </c>
      <c r="C168" s="4">
        <v>60</v>
      </c>
      <c r="D168" s="4">
        <v>54</v>
      </c>
      <c r="E168" s="4">
        <v>39</v>
      </c>
      <c r="F168" s="5"/>
      <c r="G168" s="6">
        <f t="shared" si="21"/>
        <v>153</v>
      </c>
      <c r="H168" s="4">
        <f t="shared" si="22"/>
        <v>51</v>
      </c>
      <c r="I168" s="4">
        <f t="shared" si="23"/>
        <v>12.75</v>
      </c>
      <c r="J168" s="5"/>
      <c r="K168" s="4">
        <v>48</v>
      </c>
      <c r="L168" s="4">
        <f t="shared" si="24"/>
        <v>144</v>
      </c>
      <c r="M168" s="4">
        <f t="shared" si="25"/>
        <v>36</v>
      </c>
      <c r="N168" s="4">
        <f t="shared" si="26"/>
        <v>48.75</v>
      </c>
    </row>
    <row r="169" spans="1:14" x14ac:dyDescent="0.3">
      <c r="A169" s="2">
        <v>23</v>
      </c>
      <c r="B169" s="7" t="s">
        <v>90</v>
      </c>
      <c r="C169" s="4">
        <v>38</v>
      </c>
      <c r="D169" s="4">
        <v>33</v>
      </c>
      <c r="E169" s="4">
        <v>55</v>
      </c>
      <c r="F169" s="5"/>
      <c r="G169" s="6">
        <f t="shared" si="21"/>
        <v>126</v>
      </c>
      <c r="H169" s="4">
        <f t="shared" si="22"/>
        <v>42</v>
      </c>
      <c r="I169" s="4">
        <f t="shared" si="23"/>
        <v>10.5</v>
      </c>
      <c r="J169" s="5"/>
      <c r="K169" s="4">
        <v>52</v>
      </c>
      <c r="L169" s="4">
        <f t="shared" si="24"/>
        <v>156</v>
      </c>
      <c r="M169" s="4">
        <f t="shared" si="25"/>
        <v>39</v>
      </c>
      <c r="N169" s="4">
        <f t="shared" si="26"/>
        <v>49.5</v>
      </c>
    </row>
    <row r="170" spans="1:14" x14ac:dyDescent="0.3">
      <c r="A170" s="2">
        <v>24</v>
      </c>
      <c r="B170" s="7" t="s">
        <v>96</v>
      </c>
      <c r="C170" s="4">
        <v>55</v>
      </c>
      <c r="D170" s="4">
        <v>54</v>
      </c>
      <c r="E170" s="4">
        <v>54</v>
      </c>
      <c r="F170" s="5"/>
      <c r="G170" s="6">
        <f t="shared" si="21"/>
        <v>163</v>
      </c>
      <c r="H170" s="4">
        <f t="shared" si="22"/>
        <v>54.333333333333336</v>
      </c>
      <c r="I170" s="4">
        <f t="shared" si="23"/>
        <v>13.583333333333334</v>
      </c>
      <c r="J170" s="5"/>
      <c r="K170" s="4">
        <v>39</v>
      </c>
      <c r="L170" s="4">
        <f t="shared" si="24"/>
        <v>117</v>
      </c>
      <c r="M170" s="4">
        <f t="shared" si="25"/>
        <v>29.25</v>
      </c>
      <c r="N170" s="4">
        <f t="shared" si="26"/>
        <v>42.833333333333336</v>
      </c>
    </row>
    <row r="189" spans="1:15" x14ac:dyDescent="0.3">
      <c r="A189" s="63" t="s">
        <v>0</v>
      </c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1:15" x14ac:dyDescent="0.3">
      <c r="A190" s="63" t="s">
        <v>1</v>
      </c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1:15" x14ac:dyDescent="0.3">
      <c r="A191" s="63" t="s">
        <v>82</v>
      </c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1:15" x14ac:dyDescent="0.3">
      <c r="B192" s="64" t="s">
        <v>107</v>
      </c>
      <c r="C192" s="64"/>
      <c r="D192" s="64"/>
    </row>
    <row r="193" spans="1:14" x14ac:dyDescent="0.3">
      <c r="C193" s="1" t="s">
        <v>4</v>
      </c>
      <c r="D193" s="1" t="s">
        <v>5</v>
      </c>
      <c r="E193" s="1" t="s">
        <v>6</v>
      </c>
      <c r="F193" s="1"/>
      <c r="G193" s="1" t="s">
        <v>7</v>
      </c>
      <c r="H193" s="1" t="s">
        <v>8</v>
      </c>
      <c r="I193" s="3">
        <v>0.25</v>
      </c>
      <c r="J193" s="1"/>
      <c r="K193" s="1" t="s">
        <v>9</v>
      </c>
      <c r="L193" s="1"/>
      <c r="M193" s="3">
        <v>0.75</v>
      </c>
      <c r="N193" s="1" t="s">
        <v>10</v>
      </c>
    </row>
    <row r="194" spans="1:14" x14ac:dyDescent="0.3">
      <c r="A194" s="2">
        <v>1</v>
      </c>
      <c r="B194" s="7" t="s">
        <v>89</v>
      </c>
      <c r="C194" s="4">
        <v>36</v>
      </c>
      <c r="D194" s="4">
        <v>40</v>
      </c>
      <c r="E194" s="4">
        <v>39</v>
      </c>
      <c r="F194" s="5"/>
      <c r="G194" s="6">
        <f>SUM(C194:E194)</f>
        <v>115</v>
      </c>
      <c r="H194" s="4">
        <f>AVERAGE(C194:E194)</f>
        <v>38.333333333333336</v>
      </c>
      <c r="I194" s="4">
        <f>G194/12</f>
        <v>9.5833333333333339</v>
      </c>
      <c r="J194" s="5"/>
      <c r="K194" s="4">
        <v>38</v>
      </c>
      <c r="L194" s="4">
        <f>K194*3</f>
        <v>114</v>
      </c>
      <c r="M194" s="4">
        <f>L194/4</f>
        <v>28.5</v>
      </c>
      <c r="N194" s="4">
        <f>M194+I194</f>
        <v>38.083333333333336</v>
      </c>
    </row>
    <row r="195" spans="1:14" x14ac:dyDescent="0.3">
      <c r="A195" s="2">
        <v>2</v>
      </c>
      <c r="B195" s="7" t="s">
        <v>94</v>
      </c>
      <c r="C195" s="4">
        <v>45</v>
      </c>
      <c r="D195" s="4">
        <v>41</v>
      </c>
      <c r="E195" s="4">
        <v>42</v>
      </c>
      <c r="F195" s="5"/>
      <c r="G195" s="6">
        <f t="shared" ref="G195:G217" si="27">SUM(C195:E195)</f>
        <v>128</v>
      </c>
      <c r="H195" s="4">
        <f t="shared" ref="H195:H217" si="28">AVERAGE(C195:E195)</f>
        <v>42.666666666666664</v>
      </c>
      <c r="I195" s="4">
        <f t="shared" ref="I195:I217" si="29">G195/12</f>
        <v>10.666666666666666</v>
      </c>
      <c r="J195" s="5"/>
      <c r="K195" s="4">
        <v>42</v>
      </c>
      <c r="L195" s="4">
        <f t="shared" ref="L195:L217" si="30">K195*3</f>
        <v>126</v>
      </c>
      <c r="M195" s="4">
        <f t="shared" ref="M195:M217" si="31">L195/4</f>
        <v>31.5</v>
      </c>
      <c r="N195" s="4">
        <f t="shared" ref="N195:N217" si="32">M195+I195</f>
        <v>42.166666666666664</v>
      </c>
    </row>
    <row r="196" spans="1:14" x14ac:dyDescent="0.3">
      <c r="A196" s="2">
        <v>3</v>
      </c>
      <c r="B196" s="7" t="s">
        <v>97</v>
      </c>
      <c r="C196" s="4">
        <v>52</v>
      </c>
      <c r="D196" s="4">
        <v>38</v>
      </c>
      <c r="E196" s="4">
        <v>40</v>
      </c>
      <c r="F196" s="5"/>
      <c r="G196" s="6">
        <f t="shared" si="27"/>
        <v>130</v>
      </c>
      <c r="H196" s="4">
        <f t="shared" si="28"/>
        <v>43.333333333333336</v>
      </c>
      <c r="I196" s="4">
        <f t="shared" si="29"/>
        <v>10.833333333333334</v>
      </c>
      <c r="J196" s="5"/>
      <c r="K196" s="4">
        <v>38</v>
      </c>
      <c r="L196" s="4">
        <f t="shared" si="30"/>
        <v>114</v>
      </c>
      <c r="M196" s="4">
        <f t="shared" si="31"/>
        <v>28.5</v>
      </c>
      <c r="N196" s="4">
        <f t="shared" si="32"/>
        <v>39.333333333333336</v>
      </c>
    </row>
    <row r="197" spans="1:14" x14ac:dyDescent="0.3">
      <c r="A197" s="2">
        <v>4</v>
      </c>
      <c r="B197" s="7" t="s">
        <v>103</v>
      </c>
      <c r="C197" s="4">
        <v>33</v>
      </c>
      <c r="D197" s="4">
        <v>45</v>
      </c>
      <c r="E197" s="4">
        <v>48</v>
      </c>
      <c r="F197" s="5"/>
      <c r="G197" s="6">
        <f t="shared" si="27"/>
        <v>126</v>
      </c>
      <c r="H197" s="4">
        <f t="shared" si="28"/>
        <v>42</v>
      </c>
      <c r="I197" s="4">
        <f t="shared" si="29"/>
        <v>10.5</v>
      </c>
      <c r="J197" s="5"/>
      <c r="K197" s="4">
        <v>42</v>
      </c>
      <c r="L197" s="4">
        <f t="shared" si="30"/>
        <v>126</v>
      </c>
      <c r="M197" s="4">
        <f t="shared" si="31"/>
        <v>31.5</v>
      </c>
      <c r="N197" s="4">
        <f t="shared" si="32"/>
        <v>42</v>
      </c>
    </row>
    <row r="198" spans="1:14" x14ac:dyDescent="0.3">
      <c r="A198" s="2">
        <v>5</v>
      </c>
      <c r="B198" s="7" t="s">
        <v>88</v>
      </c>
      <c r="C198" s="4">
        <v>71</v>
      </c>
      <c r="D198" s="4">
        <v>77</v>
      </c>
      <c r="E198" s="4">
        <v>75</v>
      </c>
      <c r="F198" s="5"/>
      <c r="G198" s="6">
        <f t="shared" si="27"/>
        <v>223</v>
      </c>
      <c r="H198" s="4">
        <f t="shared" si="28"/>
        <v>74.333333333333329</v>
      </c>
      <c r="I198" s="4">
        <f t="shared" si="29"/>
        <v>18.583333333333332</v>
      </c>
      <c r="J198" s="5"/>
      <c r="K198" s="4">
        <v>75</v>
      </c>
      <c r="L198" s="4">
        <f t="shared" si="30"/>
        <v>225</v>
      </c>
      <c r="M198" s="4">
        <f t="shared" si="31"/>
        <v>56.25</v>
      </c>
      <c r="N198" s="4">
        <f t="shared" si="32"/>
        <v>74.833333333333329</v>
      </c>
    </row>
    <row r="199" spans="1:14" x14ac:dyDescent="0.3">
      <c r="A199" s="2">
        <v>6</v>
      </c>
      <c r="B199" s="7" t="s">
        <v>93</v>
      </c>
      <c r="C199" s="4">
        <v>91</v>
      </c>
      <c r="D199" s="4">
        <v>88</v>
      </c>
      <c r="E199" s="4">
        <v>86</v>
      </c>
      <c r="F199" s="5"/>
      <c r="G199" s="6">
        <f t="shared" si="27"/>
        <v>265</v>
      </c>
      <c r="H199" s="4">
        <f t="shared" si="28"/>
        <v>88.333333333333329</v>
      </c>
      <c r="I199" s="4">
        <f t="shared" si="29"/>
        <v>22.083333333333332</v>
      </c>
      <c r="J199" s="5"/>
      <c r="K199" s="4">
        <v>86</v>
      </c>
      <c r="L199" s="4">
        <f t="shared" si="30"/>
        <v>258</v>
      </c>
      <c r="M199" s="4">
        <f t="shared" si="31"/>
        <v>64.5</v>
      </c>
      <c r="N199" s="4">
        <f t="shared" si="32"/>
        <v>86.583333333333329</v>
      </c>
    </row>
    <row r="200" spans="1:14" x14ac:dyDescent="0.3">
      <c r="A200" s="2">
        <v>7</v>
      </c>
      <c r="B200" s="7" t="s">
        <v>87</v>
      </c>
      <c r="C200" s="4">
        <v>66</v>
      </c>
      <c r="D200" s="4">
        <v>62</v>
      </c>
      <c r="E200" s="4">
        <v>60</v>
      </c>
      <c r="F200" s="5"/>
      <c r="G200" s="6">
        <f t="shared" si="27"/>
        <v>188</v>
      </c>
      <c r="H200" s="4">
        <f t="shared" si="28"/>
        <v>62.666666666666664</v>
      </c>
      <c r="I200" s="4">
        <f t="shared" si="29"/>
        <v>15.666666666666666</v>
      </c>
      <c r="J200" s="5"/>
      <c r="K200" s="4">
        <v>41</v>
      </c>
      <c r="L200" s="4">
        <f t="shared" si="30"/>
        <v>123</v>
      </c>
      <c r="M200" s="4">
        <f t="shared" si="31"/>
        <v>30.75</v>
      </c>
      <c r="N200" s="4">
        <f t="shared" si="32"/>
        <v>46.416666666666664</v>
      </c>
    </row>
    <row r="201" spans="1:14" x14ac:dyDescent="0.3">
      <c r="A201" s="2">
        <v>8</v>
      </c>
      <c r="B201" s="7" t="s">
        <v>86</v>
      </c>
      <c r="C201" s="4">
        <v>95</v>
      </c>
      <c r="D201" s="4">
        <v>91</v>
      </c>
      <c r="E201" s="4">
        <v>88</v>
      </c>
      <c r="F201" s="5"/>
      <c r="G201" s="6">
        <f t="shared" si="27"/>
        <v>274</v>
      </c>
      <c r="H201" s="4">
        <f t="shared" si="28"/>
        <v>91.333333333333329</v>
      </c>
      <c r="I201" s="4">
        <f t="shared" si="29"/>
        <v>22.833333333333332</v>
      </c>
      <c r="J201" s="5"/>
      <c r="K201" s="4">
        <v>89</v>
      </c>
      <c r="L201" s="4">
        <f t="shared" si="30"/>
        <v>267</v>
      </c>
      <c r="M201" s="4">
        <f t="shared" si="31"/>
        <v>66.75</v>
      </c>
      <c r="N201" s="4">
        <f t="shared" si="32"/>
        <v>89.583333333333329</v>
      </c>
    </row>
    <row r="202" spans="1:14" x14ac:dyDescent="0.3">
      <c r="A202" s="2">
        <v>9</v>
      </c>
      <c r="B202" s="7" t="s">
        <v>85</v>
      </c>
      <c r="C202" s="4">
        <v>38</v>
      </c>
      <c r="D202" s="4">
        <v>41</v>
      </c>
      <c r="E202" s="4">
        <v>69</v>
      </c>
      <c r="F202" s="5"/>
      <c r="G202" s="6">
        <f t="shared" si="27"/>
        <v>148</v>
      </c>
      <c r="H202" s="4">
        <f t="shared" si="28"/>
        <v>49.333333333333336</v>
      </c>
      <c r="I202" s="4">
        <f t="shared" si="29"/>
        <v>12.333333333333334</v>
      </c>
      <c r="J202" s="5"/>
      <c r="K202" s="4">
        <v>41</v>
      </c>
      <c r="L202" s="4">
        <f t="shared" si="30"/>
        <v>123</v>
      </c>
      <c r="M202" s="4">
        <f t="shared" si="31"/>
        <v>30.75</v>
      </c>
      <c r="N202" s="4">
        <f t="shared" si="32"/>
        <v>43.083333333333336</v>
      </c>
    </row>
    <row r="203" spans="1:14" x14ac:dyDescent="0.3">
      <c r="A203" s="2">
        <v>10</v>
      </c>
      <c r="B203" s="7" t="s">
        <v>105</v>
      </c>
      <c r="C203" s="4">
        <v>45</v>
      </c>
      <c r="D203" s="4">
        <v>38</v>
      </c>
      <c r="E203" s="4">
        <v>52</v>
      </c>
      <c r="F203" s="5"/>
      <c r="G203" s="6">
        <f t="shared" si="27"/>
        <v>135</v>
      </c>
      <c r="H203" s="4">
        <f t="shared" si="28"/>
        <v>45</v>
      </c>
      <c r="I203" s="4">
        <f t="shared" si="29"/>
        <v>11.25</v>
      </c>
      <c r="J203" s="5"/>
      <c r="K203" s="4">
        <v>45</v>
      </c>
      <c r="L203" s="4">
        <f t="shared" si="30"/>
        <v>135</v>
      </c>
      <c r="M203" s="4">
        <f t="shared" si="31"/>
        <v>33.75</v>
      </c>
      <c r="N203" s="4">
        <f t="shared" si="32"/>
        <v>45</v>
      </c>
    </row>
    <row r="204" spans="1:14" x14ac:dyDescent="0.3">
      <c r="A204" s="2">
        <v>11</v>
      </c>
      <c r="B204" s="7" t="s">
        <v>99</v>
      </c>
      <c r="C204" s="4">
        <v>55</v>
      </c>
      <c r="D204" s="4">
        <v>45</v>
      </c>
      <c r="E204" s="4">
        <v>38</v>
      </c>
      <c r="F204" s="5"/>
      <c r="G204" s="6">
        <f t="shared" si="27"/>
        <v>138</v>
      </c>
      <c r="H204" s="4">
        <f t="shared" si="28"/>
        <v>46</v>
      </c>
      <c r="I204" s="4">
        <f t="shared" si="29"/>
        <v>11.5</v>
      </c>
      <c r="J204" s="5"/>
      <c r="K204" s="4">
        <v>49</v>
      </c>
      <c r="L204" s="4">
        <f t="shared" si="30"/>
        <v>147</v>
      </c>
      <c r="M204" s="4">
        <f t="shared" si="31"/>
        <v>36.75</v>
      </c>
      <c r="N204" s="4">
        <f t="shared" si="32"/>
        <v>48.25</v>
      </c>
    </row>
    <row r="205" spans="1:14" x14ac:dyDescent="0.3">
      <c r="A205" s="2">
        <v>12</v>
      </c>
      <c r="B205" s="7" t="s">
        <v>104</v>
      </c>
      <c r="C205" s="4">
        <v>33</v>
      </c>
      <c r="D205" s="4">
        <v>52</v>
      </c>
      <c r="E205" s="4">
        <v>45</v>
      </c>
      <c r="F205" s="5"/>
      <c r="G205" s="6">
        <f t="shared" si="27"/>
        <v>130</v>
      </c>
      <c r="H205" s="4">
        <f t="shared" si="28"/>
        <v>43.333333333333336</v>
      </c>
      <c r="I205" s="4">
        <f t="shared" si="29"/>
        <v>10.833333333333334</v>
      </c>
      <c r="J205" s="5"/>
      <c r="K205" s="4">
        <v>38</v>
      </c>
      <c r="L205" s="4">
        <f t="shared" si="30"/>
        <v>114</v>
      </c>
      <c r="M205" s="4">
        <f t="shared" si="31"/>
        <v>28.5</v>
      </c>
      <c r="N205" s="4">
        <f t="shared" si="32"/>
        <v>39.333333333333336</v>
      </c>
    </row>
    <row r="206" spans="1:14" x14ac:dyDescent="0.3">
      <c r="A206" s="2">
        <v>13</v>
      </c>
      <c r="B206" s="7" t="s">
        <v>100</v>
      </c>
      <c r="C206" s="4">
        <v>42</v>
      </c>
      <c r="D206" s="4">
        <v>38</v>
      </c>
      <c r="E206" s="4">
        <v>50</v>
      </c>
      <c r="F206" s="5"/>
      <c r="G206" s="6">
        <f t="shared" si="27"/>
        <v>130</v>
      </c>
      <c r="H206" s="4">
        <f t="shared" si="28"/>
        <v>43.333333333333336</v>
      </c>
      <c r="I206" s="4">
        <f t="shared" si="29"/>
        <v>10.833333333333334</v>
      </c>
      <c r="J206" s="5"/>
      <c r="K206" s="4">
        <v>41</v>
      </c>
      <c r="L206" s="4">
        <f t="shared" si="30"/>
        <v>123</v>
      </c>
      <c r="M206" s="4">
        <f t="shared" si="31"/>
        <v>30.75</v>
      </c>
      <c r="N206" s="4">
        <f t="shared" si="32"/>
        <v>41.583333333333336</v>
      </c>
    </row>
    <row r="207" spans="1:14" x14ac:dyDescent="0.3">
      <c r="A207" s="2">
        <v>14</v>
      </c>
      <c r="B207" s="7" t="s">
        <v>84</v>
      </c>
      <c r="C207" s="4">
        <v>29</v>
      </c>
      <c r="D207" s="4">
        <v>44</v>
      </c>
      <c r="E207" s="4">
        <v>39</v>
      </c>
      <c r="F207" s="5"/>
      <c r="G207" s="6">
        <f t="shared" si="27"/>
        <v>112</v>
      </c>
      <c r="H207" s="4">
        <f t="shared" si="28"/>
        <v>37.333333333333336</v>
      </c>
      <c r="I207" s="4">
        <f t="shared" si="29"/>
        <v>9.3333333333333339</v>
      </c>
      <c r="J207" s="5"/>
      <c r="K207" s="4">
        <v>39</v>
      </c>
      <c r="L207" s="4">
        <f t="shared" si="30"/>
        <v>117</v>
      </c>
      <c r="M207" s="4">
        <f t="shared" si="31"/>
        <v>29.25</v>
      </c>
      <c r="N207" s="4">
        <f t="shared" si="32"/>
        <v>38.583333333333336</v>
      </c>
    </row>
    <row r="208" spans="1:14" x14ac:dyDescent="0.3">
      <c r="A208" s="2">
        <v>15</v>
      </c>
      <c r="B208" s="7" t="s">
        <v>101</v>
      </c>
      <c r="C208" s="4">
        <v>80</v>
      </c>
      <c r="D208" s="4">
        <v>83</v>
      </c>
      <c r="E208" s="4">
        <v>84</v>
      </c>
      <c r="F208" s="5"/>
      <c r="G208" s="6">
        <f t="shared" si="27"/>
        <v>247</v>
      </c>
      <c r="H208" s="4">
        <f t="shared" si="28"/>
        <v>82.333333333333329</v>
      </c>
      <c r="I208" s="4">
        <f t="shared" si="29"/>
        <v>20.583333333333332</v>
      </c>
      <c r="J208" s="5"/>
      <c r="K208" s="4">
        <v>82</v>
      </c>
      <c r="L208" s="4">
        <f t="shared" si="30"/>
        <v>246</v>
      </c>
      <c r="M208" s="4">
        <f t="shared" si="31"/>
        <v>61.5</v>
      </c>
      <c r="N208" s="4">
        <f t="shared" si="32"/>
        <v>82.083333333333329</v>
      </c>
    </row>
    <row r="209" spans="1:14" x14ac:dyDescent="0.3">
      <c r="A209" s="2">
        <v>16</v>
      </c>
      <c r="B209" s="7" t="s">
        <v>92</v>
      </c>
      <c r="C209" s="4">
        <v>54</v>
      </c>
      <c r="D209" s="4">
        <v>51</v>
      </c>
      <c r="E209" s="4">
        <v>57</v>
      </c>
      <c r="F209" s="5"/>
      <c r="G209" s="6">
        <f t="shared" si="27"/>
        <v>162</v>
      </c>
      <c r="H209" s="4">
        <f t="shared" si="28"/>
        <v>54</v>
      </c>
      <c r="I209" s="4">
        <f t="shared" si="29"/>
        <v>13.5</v>
      </c>
      <c r="J209" s="5"/>
      <c r="K209" s="4">
        <v>54</v>
      </c>
      <c r="L209" s="4">
        <f t="shared" si="30"/>
        <v>162</v>
      </c>
      <c r="M209" s="4">
        <f t="shared" si="31"/>
        <v>40.5</v>
      </c>
      <c r="N209" s="4">
        <f t="shared" si="32"/>
        <v>54</v>
      </c>
    </row>
    <row r="210" spans="1:14" x14ac:dyDescent="0.3">
      <c r="A210" s="2">
        <v>17</v>
      </c>
      <c r="B210" s="7" t="s">
        <v>91</v>
      </c>
      <c r="C210" s="4">
        <v>38</v>
      </c>
      <c r="D210" s="4">
        <v>33</v>
      </c>
      <c r="E210" s="4">
        <v>53</v>
      </c>
      <c r="F210" s="5"/>
      <c r="G210" s="6">
        <f t="shared" si="27"/>
        <v>124</v>
      </c>
      <c r="H210" s="4">
        <f t="shared" si="28"/>
        <v>41.333333333333336</v>
      </c>
      <c r="I210" s="4">
        <f t="shared" si="29"/>
        <v>10.333333333333334</v>
      </c>
      <c r="J210" s="5"/>
      <c r="K210" s="4">
        <v>39</v>
      </c>
      <c r="L210" s="4">
        <f t="shared" si="30"/>
        <v>117</v>
      </c>
      <c r="M210" s="4">
        <f t="shared" si="31"/>
        <v>29.25</v>
      </c>
      <c r="N210" s="4">
        <f t="shared" si="32"/>
        <v>39.583333333333336</v>
      </c>
    </row>
    <row r="211" spans="1:14" x14ac:dyDescent="0.3">
      <c r="A211" s="2">
        <v>18</v>
      </c>
      <c r="B211" s="7" t="s">
        <v>95</v>
      </c>
      <c r="C211" s="4">
        <v>44</v>
      </c>
      <c r="D211" s="4">
        <v>41</v>
      </c>
      <c r="E211" s="4">
        <v>39</v>
      </c>
      <c r="F211" s="5"/>
      <c r="G211" s="6">
        <f t="shared" si="27"/>
        <v>124</v>
      </c>
      <c r="H211" s="4">
        <f t="shared" si="28"/>
        <v>41.333333333333336</v>
      </c>
      <c r="I211" s="4">
        <f t="shared" si="29"/>
        <v>10.333333333333334</v>
      </c>
      <c r="J211" s="5"/>
      <c r="K211" s="4">
        <v>44</v>
      </c>
      <c r="L211" s="4">
        <f t="shared" si="30"/>
        <v>132</v>
      </c>
      <c r="M211" s="4">
        <f t="shared" si="31"/>
        <v>33</v>
      </c>
      <c r="N211" s="4">
        <f t="shared" si="32"/>
        <v>43.333333333333336</v>
      </c>
    </row>
    <row r="212" spans="1:14" x14ac:dyDescent="0.3">
      <c r="A212" s="2">
        <v>19</v>
      </c>
      <c r="B212" s="7" t="s">
        <v>102</v>
      </c>
      <c r="C212" s="4">
        <v>62</v>
      </c>
      <c r="D212" s="4">
        <v>58</v>
      </c>
      <c r="E212" s="4">
        <v>57</v>
      </c>
      <c r="F212" s="5"/>
      <c r="G212" s="6">
        <f t="shared" si="27"/>
        <v>177</v>
      </c>
      <c r="H212" s="4">
        <f t="shared" si="28"/>
        <v>59</v>
      </c>
      <c r="I212" s="4">
        <f t="shared" si="29"/>
        <v>14.75</v>
      </c>
      <c r="J212" s="5"/>
      <c r="K212" s="4">
        <v>54</v>
      </c>
      <c r="L212" s="4">
        <f t="shared" si="30"/>
        <v>162</v>
      </c>
      <c r="M212" s="4">
        <f t="shared" si="31"/>
        <v>40.5</v>
      </c>
      <c r="N212" s="4">
        <f t="shared" si="32"/>
        <v>55.25</v>
      </c>
    </row>
    <row r="213" spans="1:14" x14ac:dyDescent="0.3">
      <c r="A213" s="2">
        <v>20</v>
      </c>
      <c r="B213" s="7" t="s">
        <v>98</v>
      </c>
      <c r="C213" s="4">
        <v>38</v>
      </c>
      <c r="D213" s="4">
        <v>62</v>
      </c>
      <c r="E213" s="4">
        <v>39</v>
      </c>
      <c r="F213" s="5"/>
      <c r="G213" s="6">
        <f t="shared" si="27"/>
        <v>139</v>
      </c>
      <c r="H213" s="4">
        <f t="shared" si="28"/>
        <v>46.333333333333336</v>
      </c>
      <c r="I213" s="4">
        <f t="shared" si="29"/>
        <v>11.583333333333334</v>
      </c>
      <c r="J213" s="5"/>
      <c r="K213" s="4">
        <v>55</v>
      </c>
      <c r="L213" s="4">
        <f t="shared" si="30"/>
        <v>165</v>
      </c>
      <c r="M213" s="4">
        <f t="shared" si="31"/>
        <v>41.25</v>
      </c>
      <c r="N213" s="4">
        <f t="shared" si="32"/>
        <v>52.833333333333336</v>
      </c>
    </row>
    <row r="214" spans="1:14" x14ac:dyDescent="0.3">
      <c r="A214" s="2">
        <v>21</v>
      </c>
      <c r="B214" s="7" t="s">
        <v>83</v>
      </c>
      <c r="C214" s="4">
        <v>80</v>
      </c>
      <c r="D214" s="4">
        <v>77</v>
      </c>
      <c r="E214" s="4">
        <v>57</v>
      </c>
      <c r="F214" s="5"/>
      <c r="G214" s="6">
        <f t="shared" si="27"/>
        <v>214</v>
      </c>
      <c r="H214" s="4">
        <f t="shared" si="28"/>
        <v>71.333333333333329</v>
      </c>
      <c r="I214" s="4">
        <f t="shared" si="29"/>
        <v>17.833333333333332</v>
      </c>
      <c r="J214" s="5"/>
      <c r="K214" s="4">
        <v>69</v>
      </c>
      <c r="L214" s="4">
        <f t="shared" si="30"/>
        <v>207</v>
      </c>
      <c r="M214" s="4">
        <f t="shared" si="31"/>
        <v>51.75</v>
      </c>
      <c r="N214" s="4">
        <f t="shared" si="32"/>
        <v>69.583333333333329</v>
      </c>
    </row>
    <row r="215" spans="1:14" x14ac:dyDescent="0.3">
      <c r="A215" s="2">
        <v>22</v>
      </c>
      <c r="B215" s="7" t="s">
        <v>106</v>
      </c>
      <c r="C215" s="4">
        <v>38</v>
      </c>
      <c r="D215" s="4">
        <v>50</v>
      </c>
      <c r="E215" s="4">
        <v>38</v>
      </c>
      <c r="F215" s="5"/>
      <c r="G215" s="6">
        <f t="shared" si="27"/>
        <v>126</v>
      </c>
      <c r="H215" s="4">
        <f t="shared" si="28"/>
        <v>42</v>
      </c>
      <c r="I215" s="4">
        <f t="shared" si="29"/>
        <v>10.5</v>
      </c>
      <c r="J215" s="5"/>
      <c r="K215" s="4">
        <v>42</v>
      </c>
      <c r="L215" s="4">
        <f t="shared" si="30"/>
        <v>126</v>
      </c>
      <c r="M215" s="4">
        <f t="shared" si="31"/>
        <v>31.5</v>
      </c>
      <c r="N215" s="4">
        <f t="shared" si="32"/>
        <v>42</v>
      </c>
    </row>
    <row r="216" spans="1:14" x14ac:dyDescent="0.3">
      <c r="A216" s="2">
        <v>23</v>
      </c>
      <c r="B216" s="7" t="s">
        <v>90</v>
      </c>
      <c r="C216" s="4">
        <v>44</v>
      </c>
      <c r="D216" s="4">
        <v>38</v>
      </c>
      <c r="E216" s="4">
        <v>44</v>
      </c>
      <c r="F216" s="5"/>
      <c r="G216" s="6">
        <f t="shared" si="27"/>
        <v>126</v>
      </c>
      <c r="H216" s="4">
        <f t="shared" si="28"/>
        <v>42</v>
      </c>
      <c r="I216" s="4">
        <f t="shared" si="29"/>
        <v>10.5</v>
      </c>
      <c r="J216" s="5"/>
      <c r="K216" s="4">
        <v>40</v>
      </c>
      <c r="L216" s="4">
        <f t="shared" si="30"/>
        <v>120</v>
      </c>
      <c r="M216" s="4">
        <f t="shared" si="31"/>
        <v>30</v>
      </c>
      <c r="N216" s="4">
        <f t="shared" si="32"/>
        <v>40.5</v>
      </c>
    </row>
    <row r="217" spans="1:14" x14ac:dyDescent="0.3">
      <c r="A217" s="2">
        <v>24</v>
      </c>
      <c r="B217" s="7" t="s">
        <v>96</v>
      </c>
      <c r="C217" s="4">
        <v>50</v>
      </c>
      <c r="D217" s="4">
        <v>44</v>
      </c>
      <c r="E217" s="4">
        <v>40</v>
      </c>
      <c r="F217" s="5"/>
      <c r="G217" s="6">
        <f t="shared" si="27"/>
        <v>134</v>
      </c>
      <c r="H217" s="4">
        <f t="shared" si="28"/>
        <v>44.666666666666664</v>
      </c>
      <c r="I217" s="4">
        <f t="shared" si="29"/>
        <v>11.166666666666666</v>
      </c>
      <c r="J217" s="5"/>
      <c r="K217" s="4">
        <v>38</v>
      </c>
      <c r="L217" s="4">
        <f t="shared" si="30"/>
        <v>114</v>
      </c>
      <c r="M217" s="4">
        <f t="shared" si="31"/>
        <v>28.5</v>
      </c>
      <c r="N217" s="4">
        <f t="shared" si="32"/>
        <v>39.666666666666664</v>
      </c>
    </row>
    <row r="236" spans="1:15" x14ac:dyDescent="0.3">
      <c r="A236" s="63" t="s">
        <v>0</v>
      </c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1:15" x14ac:dyDescent="0.3">
      <c r="A237" s="63" t="s">
        <v>1</v>
      </c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1:15" x14ac:dyDescent="0.3">
      <c r="A238" s="63" t="s">
        <v>82</v>
      </c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1:15" x14ac:dyDescent="0.3">
      <c r="B239" s="64" t="s">
        <v>108</v>
      </c>
      <c r="C239" s="64"/>
      <c r="D239" s="64"/>
    </row>
    <row r="240" spans="1:15" x14ac:dyDescent="0.3">
      <c r="C240" s="1" t="s">
        <v>4</v>
      </c>
      <c r="D240" s="1" t="s">
        <v>5</v>
      </c>
      <c r="E240" s="1" t="s">
        <v>6</v>
      </c>
      <c r="F240" s="1"/>
      <c r="G240" s="1" t="s">
        <v>7</v>
      </c>
      <c r="H240" s="1" t="s">
        <v>8</v>
      </c>
      <c r="I240" s="3">
        <v>0.25</v>
      </c>
      <c r="J240" s="1"/>
      <c r="K240" s="1" t="s">
        <v>9</v>
      </c>
      <c r="L240" s="1"/>
      <c r="M240" s="3">
        <v>0.75</v>
      </c>
      <c r="N240" s="1" t="s">
        <v>10</v>
      </c>
    </row>
    <row r="241" spans="1:14" x14ac:dyDescent="0.3">
      <c r="A241" s="2">
        <v>1</v>
      </c>
      <c r="B241" s="7" t="s">
        <v>89</v>
      </c>
      <c r="C241" s="4">
        <v>39</v>
      </c>
      <c r="D241" s="4">
        <v>38</v>
      </c>
      <c r="E241" s="4">
        <v>38</v>
      </c>
      <c r="F241" s="5"/>
      <c r="G241" s="6">
        <f>SUM(C241:E241)</f>
        <v>115</v>
      </c>
      <c r="H241" s="4">
        <f>AVERAGE(C241:E241)</f>
        <v>38.333333333333336</v>
      </c>
      <c r="I241" s="4">
        <f>G241/12</f>
        <v>9.5833333333333339</v>
      </c>
      <c r="J241" s="5"/>
      <c r="K241" s="4">
        <v>38</v>
      </c>
      <c r="L241" s="4">
        <f>K241*3</f>
        <v>114</v>
      </c>
      <c r="M241" s="4">
        <f>L241/4</f>
        <v>28.5</v>
      </c>
      <c r="N241" s="4">
        <f>M241+I241</f>
        <v>38.083333333333336</v>
      </c>
    </row>
    <row r="242" spans="1:14" x14ac:dyDescent="0.3">
      <c r="A242" s="2">
        <v>2</v>
      </c>
      <c r="B242" s="7" t="s">
        <v>94</v>
      </c>
      <c r="C242" s="4">
        <v>42</v>
      </c>
      <c r="D242" s="4">
        <v>41</v>
      </c>
      <c r="E242" s="4">
        <v>37</v>
      </c>
      <c r="F242" s="5"/>
      <c r="G242" s="6">
        <f t="shared" ref="G242:G264" si="33">SUM(C242:E242)</f>
        <v>120</v>
      </c>
      <c r="H242" s="4">
        <f t="shared" ref="H242:H264" si="34">AVERAGE(C242:E242)</f>
        <v>40</v>
      </c>
      <c r="I242" s="4">
        <f t="shared" ref="I242:I264" si="35">G242/12</f>
        <v>10</v>
      </c>
      <c r="J242" s="5"/>
      <c r="K242" s="4">
        <v>41</v>
      </c>
      <c r="L242" s="4">
        <f t="shared" ref="L242:L264" si="36">K242*3</f>
        <v>123</v>
      </c>
      <c r="M242" s="4">
        <f t="shared" ref="M242:M264" si="37">L242/4</f>
        <v>30.75</v>
      </c>
      <c r="N242" s="4">
        <f t="shared" ref="N242:N264" si="38">M242+I242</f>
        <v>40.75</v>
      </c>
    </row>
    <row r="243" spans="1:14" x14ac:dyDescent="0.3">
      <c r="A243" s="2">
        <v>3</v>
      </c>
      <c r="B243" s="7" t="s">
        <v>97</v>
      </c>
      <c r="C243" s="4">
        <v>53</v>
      </c>
      <c r="D243" s="4">
        <v>52</v>
      </c>
      <c r="E243" s="4">
        <v>42</v>
      </c>
      <c r="F243" s="5"/>
      <c r="G243" s="6">
        <f t="shared" si="33"/>
        <v>147</v>
      </c>
      <c r="H243" s="4">
        <f t="shared" si="34"/>
        <v>49</v>
      </c>
      <c r="I243" s="4">
        <f t="shared" si="35"/>
        <v>12.25</v>
      </c>
      <c r="J243" s="5"/>
      <c r="K243" s="4">
        <v>46</v>
      </c>
      <c r="L243" s="4">
        <f t="shared" si="36"/>
        <v>138</v>
      </c>
      <c r="M243" s="4">
        <f t="shared" si="37"/>
        <v>34.5</v>
      </c>
      <c r="N243" s="4">
        <f t="shared" si="38"/>
        <v>46.75</v>
      </c>
    </row>
    <row r="244" spans="1:14" x14ac:dyDescent="0.3">
      <c r="A244" s="2">
        <v>4</v>
      </c>
      <c r="B244" s="7" t="s">
        <v>103</v>
      </c>
      <c r="C244" s="4">
        <v>52</v>
      </c>
      <c r="D244" s="4">
        <v>38</v>
      </c>
      <c r="E244" s="4">
        <v>39</v>
      </c>
      <c r="F244" s="5"/>
      <c r="G244" s="6">
        <f t="shared" si="33"/>
        <v>129</v>
      </c>
      <c r="H244" s="4">
        <f t="shared" si="34"/>
        <v>43</v>
      </c>
      <c r="I244" s="4">
        <f t="shared" si="35"/>
        <v>10.75</v>
      </c>
      <c r="J244" s="5"/>
      <c r="K244" s="4">
        <v>42</v>
      </c>
      <c r="L244" s="4">
        <f t="shared" si="36"/>
        <v>126</v>
      </c>
      <c r="M244" s="4">
        <f t="shared" si="37"/>
        <v>31.5</v>
      </c>
      <c r="N244" s="4">
        <f t="shared" si="38"/>
        <v>42.25</v>
      </c>
    </row>
    <row r="245" spans="1:14" x14ac:dyDescent="0.3">
      <c r="A245" s="2">
        <v>5</v>
      </c>
      <c r="B245" s="7" t="s">
        <v>88</v>
      </c>
      <c r="C245" s="4">
        <v>62</v>
      </c>
      <c r="D245" s="4">
        <v>66</v>
      </c>
      <c r="E245" s="4">
        <v>68</v>
      </c>
      <c r="F245" s="5"/>
      <c r="G245" s="6">
        <f t="shared" si="33"/>
        <v>196</v>
      </c>
      <c r="H245" s="4">
        <f t="shared" si="34"/>
        <v>65.333333333333329</v>
      </c>
      <c r="I245" s="4">
        <f t="shared" si="35"/>
        <v>16.333333333333332</v>
      </c>
      <c r="J245" s="5"/>
      <c r="K245" s="4">
        <v>66</v>
      </c>
      <c r="L245" s="4">
        <f t="shared" si="36"/>
        <v>198</v>
      </c>
      <c r="M245" s="4">
        <f t="shared" si="37"/>
        <v>49.5</v>
      </c>
      <c r="N245" s="4">
        <f t="shared" si="38"/>
        <v>65.833333333333329</v>
      </c>
    </row>
    <row r="246" spans="1:14" x14ac:dyDescent="0.3">
      <c r="A246" s="2">
        <v>6</v>
      </c>
      <c r="B246" s="7" t="s">
        <v>93</v>
      </c>
      <c r="C246" s="4">
        <v>88</v>
      </c>
      <c r="D246" s="4">
        <v>82</v>
      </c>
      <c r="E246" s="4">
        <v>80</v>
      </c>
      <c r="F246" s="5"/>
      <c r="G246" s="6">
        <f t="shared" si="33"/>
        <v>250</v>
      </c>
      <c r="H246" s="4">
        <f t="shared" si="34"/>
        <v>83.333333333333329</v>
      </c>
      <c r="I246" s="4">
        <f t="shared" si="35"/>
        <v>20.833333333333332</v>
      </c>
      <c r="J246" s="5"/>
      <c r="K246" s="4">
        <v>82</v>
      </c>
      <c r="L246" s="4">
        <f t="shared" si="36"/>
        <v>246</v>
      </c>
      <c r="M246" s="4">
        <f t="shared" si="37"/>
        <v>61.5</v>
      </c>
      <c r="N246" s="4">
        <f t="shared" si="38"/>
        <v>82.333333333333329</v>
      </c>
    </row>
    <row r="247" spans="1:14" x14ac:dyDescent="0.3">
      <c r="A247" s="2">
        <v>7</v>
      </c>
      <c r="B247" s="7" t="s">
        <v>87</v>
      </c>
      <c r="C247" s="4">
        <v>65</v>
      </c>
      <c r="D247" s="4">
        <v>45</v>
      </c>
      <c r="E247" s="4">
        <v>47</v>
      </c>
      <c r="F247" s="5"/>
      <c r="G247" s="6">
        <f t="shared" si="33"/>
        <v>157</v>
      </c>
      <c r="H247" s="4">
        <f t="shared" si="34"/>
        <v>52.333333333333336</v>
      </c>
      <c r="I247" s="4">
        <f t="shared" si="35"/>
        <v>13.083333333333334</v>
      </c>
      <c r="J247" s="5"/>
      <c r="K247" s="4">
        <v>50</v>
      </c>
      <c r="L247" s="4">
        <f t="shared" si="36"/>
        <v>150</v>
      </c>
      <c r="M247" s="4">
        <f t="shared" si="37"/>
        <v>37.5</v>
      </c>
      <c r="N247" s="4">
        <f t="shared" si="38"/>
        <v>50.583333333333336</v>
      </c>
    </row>
    <row r="248" spans="1:14" x14ac:dyDescent="0.3">
      <c r="A248" s="2">
        <v>8</v>
      </c>
      <c r="B248" s="7" t="s">
        <v>86</v>
      </c>
      <c r="C248" s="4">
        <v>84</v>
      </c>
      <c r="D248" s="4">
        <v>82</v>
      </c>
      <c r="E248" s="4">
        <v>82</v>
      </c>
      <c r="F248" s="5"/>
      <c r="G248" s="6">
        <f t="shared" si="33"/>
        <v>248</v>
      </c>
      <c r="H248" s="4">
        <f t="shared" si="34"/>
        <v>82.666666666666671</v>
      </c>
      <c r="I248" s="4">
        <f t="shared" si="35"/>
        <v>20.666666666666668</v>
      </c>
      <c r="J248" s="5"/>
      <c r="K248" s="4">
        <v>83</v>
      </c>
      <c r="L248" s="4">
        <f t="shared" si="36"/>
        <v>249</v>
      </c>
      <c r="M248" s="4">
        <f t="shared" si="37"/>
        <v>62.25</v>
      </c>
      <c r="N248" s="4">
        <f t="shared" si="38"/>
        <v>82.916666666666671</v>
      </c>
    </row>
    <row r="249" spans="1:14" x14ac:dyDescent="0.3">
      <c r="A249" s="2">
        <v>9</v>
      </c>
      <c r="B249" s="7" t="s">
        <v>85</v>
      </c>
      <c r="C249" s="4">
        <v>65</v>
      </c>
      <c r="D249" s="4">
        <v>45</v>
      </c>
      <c r="E249" s="4">
        <v>60</v>
      </c>
      <c r="F249" s="5"/>
      <c r="G249" s="6">
        <f t="shared" si="33"/>
        <v>170</v>
      </c>
      <c r="H249" s="4">
        <f t="shared" si="34"/>
        <v>56.666666666666664</v>
      </c>
      <c r="I249" s="4">
        <f t="shared" si="35"/>
        <v>14.166666666666666</v>
      </c>
      <c r="J249" s="5"/>
      <c r="K249" s="4">
        <v>51</v>
      </c>
      <c r="L249" s="4">
        <f t="shared" si="36"/>
        <v>153</v>
      </c>
      <c r="M249" s="4">
        <f t="shared" si="37"/>
        <v>38.25</v>
      </c>
      <c r="N249" s="4">
        <f t="shared" si="38"/>
        <v>52.416666666666664</v>
      </c>
    </row>
    <row r="250" spans="1:14" x14ac:dyDescent="0.3">
      <c r="A250" s="2">
        <v>10</v>
      </c>
      <c r="B250" s="7" t="s">
        <v>105</v>
      </c>
      <c r="C250" s="4">
        <v>38</v>
      </c>
      <c r="D250" s="4">
        <v>52</v>
      </c>
      <c r="E250" s="4">
        <v>37</v>
      </c>
      <c r="F250" s="5"/>
      <c r="G250" s="6">
        <f t="shared" si="33"/>
        <v>127</v>
      </c>
      <c r="H250" s="4">
        <f t="shared" si="34"/>
        <v>42.333333333333336</v>
      </c>
      <c r="I250" s="4">
        <f t="shared" si="35"/>
        <v>10.583333333333334</v>
      </c>
      <c r="J250" s="5"/>
      <c r="K250" s="4">
        <v>47</v>
      </c>
      <c r="L250" s="4">
        <f t="shared" si="36"/>
        <v>141</v>
      </c>
      <c r="M250" s="4">
        <f t="shared" si="37"/>
        <v>35.25</v>
      </c>
      <c r="N250" s="4">
        <f t="shared" si="38"/>
        <v>45.833333333333336</v>
      </c>
    </row>
    <row r="251" spans="1:14" x14ac:dyDescent="0.3">
      <c r="A251" s="2">
        <v>11</v>
      </c>
      <c r="B251" s="7" t="s">
        <v>99</v>
      </c>
      <c r="C251" s="4">
        <v>45</v>
      </c>
      <c r="D251" s="4">
        <v>38</v>
      </c>
      <c r="E251" s="4">
        <v>51</v>
      </c>
      <c r="F251" s="5"/>
      <c r="G251" s="6">
        <f t="shared" si="33"/>
        <v>134</v>
      </c>
      <c r="H251" s="4">
        <f t="shared" si="34"/>
        <v>44.666666666666664</v>
      </c>
      <c r="I251" s="4">
        <f t="shared" si="35"/>
        <v>11.166666666666666</v>
      </c>
      <c r="J251" s="5"/>
      <c r="K251" s="4">
        <v>40</v>
      </c>
      <c r="L251" s="4">
        <f t="shared" si="36"/>
        <v>120</v>
      </c>
      <c r="M251" s="4">
        <f t="shared" si="37"/>
        <v>30</v>
      </c>
      <c r="N251" s="4">
        <f t="shared" si="38"/>
        <v>41.166666666666664</v>
      </c>
    </row>
    <row r="252" spans="1:14" x14ac:dyDescent="0.3">
      <c r="A252" s="2">
        <v>12</v>
      </c>
      <c r="B252" s="7" t="s">
        <v>104</v>
      </c>
      <c r="C252" s="4">
        <v>54</v>
      </c>
      <c r="D252" s="4">
        <v>57</v>
      </c>
      <c r="E252" s="4">
        <v>62</v>
      </c>
      <c r="F252" s="5"/>
      <c r="G252" s="6">
        <f t="shared" si="33"/>
        <v>173</v>
      </c>
      <c r="H252" s="4">
        <f t="shared" si="34"/>
        <v>57.666666666666664</v>
      </c>
      <c r="I252" s="4">
        <f t="shared" si="35"/>
        <v>14.416666666666666</v>
      </c>
      <c r="J252" s="5"/>
      <c r="K252" s="4">
        <v>51</v>
      </c>
      <c r="L252" s="4">
        <f t="shared" si="36"/>
        <v>153</v>
      </c>
      <c r="M252" s="4">
        <f t="shared" si="37"/>
        <v>38.25</v>
      </c>
      <c r="N252" s="4">
        <f t="shared" si="38"/>
        <v>52.666666666666664</v>
      </c>
    </row>
    <row r="253" spans="1:14" x14ac:dyDescent="0.3">
      <c r="A253" s="2">
        <v>13</v>
      </c>
      <c r="B253" s="7" t="s">
        <v>100</v>
      </c>
      <c r="C253" s="4">
        <v>50</v>
      </c>
      <c r="D253" s="4">
        <v>71</v>
      </c>
      <c r="E253" s="4">
        <v>75</v>
      </c>
      <c r="F253" s="5"/>
      <c r="G253" s="6">
        <f t="shared" si="33"/>
        <v>196</v>
      </c>
      <c r="H253" s="4">
        <f t="shared" si="34"/>
        <v>65.333333333333329</v>
      </c>
      <c r="I253" s="4">
        <f t="shared" si="35"/>
        <v>16.333333333333332</v>
      </c>
      <c r="J253" s="5"/>
      <c r="K253" s="4">
        <v>62</v>
      </c>
      <c r="L253" s="4">
        <f t="shared" si="36"/>
        <v>186</v>
      </c>
      <c r="M253" s="4">
        <f t="shared" si="37"/>
        <v>46.5</v>
      </c>
      <c r="N253" s="4">
        <f t="shared" si="38"/>
        <v>62.833333333333329</v>
      </c>
    </row>
    <row r="254" spans="1:14" x14ac:dyDescent="0.3">
      <c r="A254" s="2">
        <v>14</v>
      </c>
      <c r="B254" s="7" t="s">
        <v>84</v>
      </c>
      <c r="C254" s="4">
        <v>39</v>
      </c>
      <c r="D254" s="4">
        <v>52</v>
      </c>
      <c r="E254" s="4">
        <v>52</v>
      </c>
      <c r="F254" s="5"/>
      <c r="G254" s="6">
        <f t="shared" si="33"/>
        <v>143</v>
      </c>
      <c r="H254" s="4">
        <f t="shared" si="34"/>
        <v>47.666666666666664</v>
      </c>
      <c r="I254" s="4">
        <f t="shared" si="35"/>
        <v>11.916666666666666</v>
      </c>
      <c r="J254" s="5"/>
      <c r="K254" s="4">
        <v>47</v>
      </c>
      <c r="L254" s="4">
        <f t="shared" si="36"/>
        <v>141</v>
      </c>
      <c r="M254" s="4">
        <f t="shared" si="37"/>
        <v>35.25</v>
      </c>
      <c r="N254" s="4">
        <f t="shared" si="38"/>
        <v>47.166666666666664</v>
      </c>
    </row>
    <row r="255" spans="1:14" x14ac:dyDescent="0.3">
      <c r="A255" s="2">
        <v>15</v>
      </c>
      <c r="B255" s="7" t="s">
        <v>101</v>
      </c>
      <c r="C255" s="4">
        <v>66</v>
      </c>
      <c r="D255" s="4">
        <v>90</v>
      </c>
      <c r="E255" s="4">
        <v>88</v>
      </c>
      <c r="F255" s="5"/>
      <c r="G255" s="6">
        <f t="shared" si="33"/>
        <v>244</v>
      </c>
      <c r="H255" s="4">
        <f t="shared" si="34"/>
        <v>81.333333333333329</v>
      </c>
      <c r="I255" s="4">
        <f t="shared" si="35"/>
        <v>20.333333333333332</v>
      </c>
      <c r="J255" s="5"/>
      <c r="K255" s="4">
        <v>85</v>
      </c>
      <c r="L255" s="4">
        <f t="shared" si="36"/>
        <v>255</v>
      </c>
      <c r="M255" s="4">
        <f t="shared" si="37"/>
        <v>63.75</v>
      </c>
      <c r="N255" s="4">
        <f t="shared" si="38"/>
        <v>84.083333333333329</v>
      </c>
    </row>
    <row r="256" spans="1:14" x14ac:dyDescent="0.3">
      <c r="A256" s="2">
        <v>16</v>
      </c>
      <c r="B256" s="7" t="s">
        <v>92</v>
      </c>
      <c r="C256" s="4">
        <v>54</v>
      </c>
      <c r="D256" s="4">
        <v>66</v>
      </c>
      <c r="E256" s="4">
        <v>54</v>
      </c>
      <c r="F256" s="5"/>
      <c r="G256" s="6">
        <f t="shared" si="33"/>
        <v>174</v>
      </c>
      <c r="H256" s="4">
        <f t="shared" si="34"/>
        <v>58</v>
      </c>
      <c r="I256" s="4">
        <f t="shared" si="35"/>
        <v>14.5</v>
      </c>
      <c r="J256" s="5"/>
      <c r="K256" s="4">
        <v>51</v>
      </c>
      <c r="L256" s="4">
        <f t="shared" si="36"/>
        <v>153</v>
      </c>
      <c r="M256" s="4">
        <f t="shared" si="37"/>
        <v>38.25</v>
      </c>
      <c r="N256" s="4">
        <f t="shared" si="38"/>
        <v>52.75</v>
      </c>
    </row>
    <row r="257" spans="1:14" x14ac:dyDescent="0.3">
      <c r="A257" s="2">
        <v>17</v>
      </c>
      <c r="B257" s="7" t="s">
        <v>91</v>
      </c>
      <c r="C257" s="4">
        <v>51</v>
      </c>
      <c r="D257" s="4">
        <v>48</v>
      </c>
      <c r="E257" s="4">
        <v>62</v>
      </c>
      <c r="F257" s="5"/>
      <c r="G257" s="6">
        <f t="shared" si="33"/>
        <v>161</v>
      </c>
      <c r="H257" s="4">
        <f t="shared" si="34"/>
        <v>53.666666666666664</v>
      </c>
      <c r="I257" s="4">
        <f t="shared" si="35"/>
        <v>13.416666666666666</v>
      </c>
      <c r="J257" s="5"/>
      <c r="K257" s="4">
        <v>47</v>
      </c>
      <c r="L257" s="4">
        <f t="shared" si="36"/>
        <v>141</v>
      </c>
      <c r="M257" s="4">
        <f t="shared" si="37"/>
        <v>35.25</v>
      </c>
      <c r="N257" s="4">
        <f t="shared" si="38"/>
        <v>48.666666666666664</v>
      </c>
    </row>
    <row r="258" spans="1:14" x14ac:dyDescent="0.3">
      <c r="A258" s="2">
        <v>18</v>
      </c>
      <c r="B258" s="7" t="s">
        <v>95</v>
      </c>
      <c r="C258" s="4">
        <v>55</v>
      </c>
      <c r="D258" s="4">
        <v>54</v>
      </c>
      <c r="E258" s="4">
        <v>38</v>
      </c>
      <c r="F258" s="5"/>
      <c r="G258" s="6">
        <f t="shared" si="33"/>
        <v>147</v>
      </c>
      <c r="H258" s="4">
        <f t="shared" si="34"/>
        <v>49</v>
      </c>
      <c r="I258" s="4">
        <f t="shared" si="35"/>
        <v>12.25</v>
      </c>
      <c r="J258" s="5"/>
      <c r="K258" s="4">
        <v>45</v>
      </c>
      <c r="L258" s="4">
        <f t="shared" si="36"/>
        <v>135</v>
      </c>
      <c r="M258" s="4">
        <f t="shared" si="37"/>
        <v>33.75</v>
      </c>
      <c r="N258" s="4">
        <f t="shared" si="38"/>
        <v>46</v>
      </c>
    </row>
    <row r="259" spans="1:14" x14ac:dyDescent="0.3">
      <c r="A259" s="2">
        <v>19</v>
      </c>
      <c r="B259" s="7" t="s">
        <v>102</v>
      </c>
      <c r="C259" s="4">
        <v>69</v>
      </c>
      <c r="D259" s="4">
        <v>71</v>
      </c>
      <c r="E259" s="4">
        <v>75</v>
      </c>
      <c r="F259" s="5"/>
      <c r="G259" s="6">
        <f t="shared" si="33"/>
        <v>215</v>
      </c>
      <c r="H259" s="4">
        <f t="shared" si="34"/>
        <v>71.666666666666671</v>
      </c>
      <c r="I259" s="4">
        <f t="shared" si="35"/>
        <v>17.916666666666668</v>
      </c>
      <c r="J259" s="5"/>
      <c r="K259" s="4">
        <v>72</v>
      </c>
      <c r="L259" s="4">
        <f t="shared" si="36"/>
        <v>216</v>
      </c>
      <c r="M259" s="4">
        <f t="shared" si="37"/>
        <v>54</v>
      </c>
      <c r="N259" s="4">
        <f t="shared" si="38"/>
        <v>71.916666666666671</v>
      </c>
    </row>
    <row r="260" spans="1:14" x14ac:dyDescent="0.3">
      <c r="A260" s="2">
        <v>20</v>
      </c>
      <c r="B260" s="7" t="s">
        <v>98</v>
      </c>
      <c r="C260" s="4">
        <v>75</v>
      </c>
      <c r="D260" s="4">
        <v>65</v>
      </c>
      <c r="E260" s="4">
        <v>65</v>
      </c>
      <c r="F260" s="5"/>
      <c r="G260" s="6">
        <f t="shared" si="33"/>
        <v>205</v>
      </c>
      <c r="H260" s="4">
        <f t="shared" si="34"/>
        <v>68.333333333333329</v>
      </c>
      <c r="I260" s="4">
        <f t="shared" si="35"/>
        <v>17.083333333333332</v>
      </c>
      <c r="J260" s="5"/>
      <c r="K260" s="4">
        <v>68</v>
      </c>
      <c r="L260" s="4">
        <f t="shared" si="36"/>
        <v>204</v>
      </c>
      <c r="M260" s="4">
        <f t="shared" si="37"/>
        <v>51</v>
      </c>
      <c r="N260" s="4">
        <f t="shared" si="38"/>
        <v>68.083333333333329</v>
      </c>
    </row>
    <row r="261" spans="1:14" x14ac:dyDescent="0.3">
      <c r="A261" s="2">
        <v>21</v>
      </c>
      <c r="B261" s="7" t="s">
        <v>83</v>
      </c>
      <c r="C261" s="4">
        <v>82</v>
      </c>
      <c r="D261" s="4">
        <v>80</v>
      </c>
      <c r="E261" s="4">
        <v>80</v>
      </c>
      <c r="F261" s="5"/>
      <c r="G261" s="6">
        <f t="shared" si="33"/>
        <v>242</v>
      </c>
      <c r="H261" s="4">
        <f t="shared" si="34"/>
        <v>80.666666666666671</v>
      </c>
      <c r="I261" s="4">
        <f t="shared" si="35"/>
        <v>20.166666666666668</v>
      </c>
      <c r="J261" s="5"/>
      <c r="K261" s="4">
        <v>82</v>
      </c>
      <c r="L261" s="4">
        <f t="shared" si="36"/>
        <v>246</v>
      </c>
      <c r="M261" s="4">
        <f t="shared" si="37"/>
        <v>61.5</v>
      </c>
      <c r="N261" s="4">
        <f t="shared" si="38"/>
        <v>81.666666666666671</v>
      </c>
    </row>
    <row r="262" spans="1:14" x14ac:dyDescent="0.3">
      <c r="A262" s="2">
        <v>22</v>
      </c>
      <c r="B262" s="7" t="s">
        <v>106</v>
      </c>
      <c r="C262" s="4">
        <v>65</v>
      </c>
      <c r="D262" s="4">
        <v>45</v>
      </c>
      <c r="E262" s="4">
        <v>60</v>
      </c>
      <c r="F262" s="5"/>
      <c r="G262" s="6">
        <f t="shared" si="33"/>
        <v>170</v>
      </c>
      <c r="H262" s="4">
        <f t="shared" si="34"/>
        <v>56.666666666666664</v>
      </c>
      <c r="I262" s="4">
        <f t="shared" si="35"/>
        <v>14.166666666666666</v>
      </c>
      <c r="J262" s="5"/>
      <c r="K262" s="4">
        <v>55</v>
      </c>
      <c r="L262" s="4">
        <f t="shared" si="36"/>
        <v>165</v>
      </c>
      <c r="M262" s="4">
        <f t="shared" si="37"/>
        <v>41.25</v>
      </c>
      <c r="N262" s="4">
        <f t="shared" si="38"/>
        <v>55.416666666666664</v>
      </c>
    </row>
    <row r="263" spans="1:14" x14ac:dyDescent="0.3">
      <c r="A263" s="2">
        <v>23</v>
      </c>
      <c r="B263" s="7" t="s">
        <v>90</v>
      </c>
      <c r="C263" s="4">
        <v>55</v>
      </c>
      <c r="D263" s="4">
        <v>65</v>
      </c>
      <c r="E263" s="4">
        <v>38</v>
      </c>
      <c r="F263" s="5"/>
      <c r="G263" s="6">
        <f t="shared" si="33"/>
        <v>158</v>
      </c>
      <c r="H263" s="4">
        <f t="shared" si="34"/>
        <v>52.666666666666664</v>
      </c>
      <c r="I263" s="4">
        <f t="shared" si="35"/>
        <v>13.166666666666666</v>
      </c>
      <c r="J263" s="5"/>
      <c r="K263" s="4">
        <v>41</v>
      </c>
      <c r="L263" s="4">
        <f t="shared" si="36"/>
        <v>123</v>
      </c>
      <c r="M263" s="4">
        <f t="shared" si="37"/>
        <v>30.75</v>
      </c>
      <c r="N263" s="4">
        <f t="shared" si="38"/>
        <v>43.916666666666664</v>
      </c>
    </row>
    <row r="264" spans="1:14" x14ac:dyDescent="0.3">
      <c r="A264" s="2">
        <v>24</v>
      </c>
      <c r="B264" s="7" t="s">
        <v>96</v>
      </c>
      <c r="C264" s="4">
        <v>42</v>
      </c>
      <c r="D264" s="4">
        <v>38</v>
      </c>
      <c r="E264" s="4">
        <v>45</v>
      </c>
      <c r="F264" s="5"/>
      <c r="G264" s="6">
        <f t="shared" si="33"/>
        <v>125</v>
      </c>
      <c r="H264" s="4">
        <f t="shared" si="34"/>
        <v>41.666666666666664</v>
      </c>
      <c r="I264" s="4">
        <f t="shared" si="35"/>
        <v>10.416666666666666</v>
      </c>
      <c r="J264" s="5"/>
      <c r="K264" s="4">
        <v>52</v>
      </c>
      <c r="L264" s="4">
        <f t="shared" si="36"/>
        <v>156</v>
      </c>
      <c r="M264" s="4">
        <f t="shared" si="37"/>
        <v>39</v>
      </c>
      <c r="N264" s="4">
        <f t="shared" si="38"/>
        <v>49.416666666666664</v>
      </c>
    </row>
    <row r="283" spans="1:15" x14ac:dyDescent="0.3">
      <c r="A283" s="63" t="s">
        <v>0</v>
      </c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 spans="1:15" x14ac:dyDescent="0.3">
      <c r="A284" s="63" t="s">
        <v>1</v>
      </c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  <row r="285" spans="1:15" x14ac:dyDescent="0.3">
      <c r="A285" s="63" t="s">
        <v>82</v>
      </c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</row>
    <row r="286" spans="1:15" x14ac:dyDescent="0.3">
      <c r="B286" s="64" t="s">
        <v>109</v>
      </c>
      <c r="C286" s="64"/>
      <c r="D286" s="64"/>
    </row>
    <row r="287" spans="1:15" x14ac:dyDescent="0.3">
      <c r="C287" s="1" t="s">
        <v>4</v>
      </c>
      <c r="D287" s="1" t="s">
        <v>5</v>
      </c>
      <c r="E287" s="1" t="s">
        <v>6</v>
      </c>
      <c r="F287" s="1"/>
      <c r="G287" s="1" t="s">
        <v>7</v>
      </c>
      <c r="H287" s="1" t="s">
        <v>8</v>
      </c>
      <c r="I287" s="3">
        <v>0.25</v>
      </c>
      <c r="J287" s="1"/>
      <c r="K287" s="1" t="s">
        <v>9</v>
      </c>
      <c r="L287" s="1"/>
      <c r="M287" s="3">
        <v>0.75</v>
      </c>
      <c r="N287" s="1" t="s">
        <v>10</v>
      </c>
    </row>
    <row r="288" spans="1:15" x14ac:dyDescent="0.3">
      <c r="A288" s="2">
        <v>1</v>
      </c>
      <c r="B288" s="7" t="s">
        <v>89</v>
      </c>
      <c r="C288" s="4">
        <v>71</v>
      </c>
      <c r="D288" s="4">
        <v>70</v>
      </c>
      <c r="E288" s="4">
        <v>73</v>
      </c>
      <c r="F288" s="5"/>
      <c r="G288" s="6">
        <f>SUM(C288:E288)</f>
        <v>214</v>
      </c>
      <c r="H288" s="4">
        <f>AVERAGE(C288:E288)</f>
        <v>71.333333333333329</v>
      </c>
      <c r="I288" s="4">
        <f>G288/12</f>
        <v>17.833333333333332</v>
      </c>
      <c r="J288" s="5"/>
      <c r="K288" s="4">
        <v>73</v>
      </c>
      <c r="L288" s="4">
        <f>K288*3</f>
        <v>219</v>
      </c>
      <c r="M288" s="4">
        <f>L288/4</f>
        <v>54.75</v>
      </c>
      <c r="N288" s="4">
        <f>M288+I288</f>
        <v>72.583333333333329</v>
      </c>
    </row>
    <row r="289" spans="1:14" x14ac:dyDescent="0.3">
      <c r="A289" s="2">
        <v>2</v>
      </c>
      <c r="B289" s="7" t="s">
        <v>94</v>
      </c>
      <c r="C289" s="4">
        <v>56</v>
      </c>
      <c r="D289" s="4">
        <v>54</v>
      </c>
      <c r="E289" s="4">
        <v>54</v>
      </c>
      <c r="F289" s="5"/>
      <c r="G289" s="6">
        <f t="shared" ref="G289:G311" si="39">SUM(C289:E289)</f>
        <v>164</v>
      </c>
      <c r="H289" s="4">
        <f t="shared" ref="H289:H311" si="40">AVERAGE(C289:E289)</f>
        <v>54.666666666666664</v>
      </c>
      <c r="I289" s="4">
        <f t="shared" ref="I289:I311" si="41">G289/12</f>
        <v>13.666666666666666</v>
      </c>
      <c r="J289" s="5"/>
      <c r="K289" s="4">
        <v>50</v>
      </c>
      <c r="L289" s="4">
        <f t="shared" ref="L289:L311" si="42">K289*3</f>
        <v>150</v>
      </c>
      <c r="M289" s="4">
        <f t="shared" ref="M289:M311" si="43">L289/4</f>
        <v>37.5</v>
      </c>
      <c r="N289" s="4">
        <f t="shared" ref="N289:N311" si="44">M289+I289</f>
        <v>51.166666666666664</v>
      </c>
    </row>
    <row r="290" spans="1:14" x14ac:dyDescent="0.3">
      <c r="A290" s="2">
        <v>3</v>
      </c>
      <c r="B290" s="7" t="s">
        <v>97</v>
      </c>
      <c r="C290" s="4">
        <v>69</v>
      </c>
      <c r="D290" s="4">
        <v>71</v>
      </c>
      <c r="E290" s="4">
        <v>59</v>
      </c>
      <c r="F290" s="5"/>
      <c r="G290" s="6">
        <f t="shared" si="39"/>
        <v>199</v>
      </c>
      <c r="H290" s="4">
        <f t="shared" si="40"/>
        <v>66.333333333333329</v>
      </c>
      <c r="I290" s="4">
        <f t="shared" si="41"/>
        <v>16.583333333333332</v>
      </c>
      <c r="J290" s="5"/>
      <c r="K290" s="4">
        <v>69</v>
      </c>
      <c r="L290" s="4">
        <f t="shared" si="42"/>
        <v>207</v>
      </c>
      <c r="M290" s="4">
        <f t="shared" si="43"/>
        <v>51.75</v>
      </c>
      <c r="N290" s="4">
        <f t="shared" si="44"/>
        <v>68.333333333333329</v>
      </c>
    </row>
    <row r="291" spans="1:14" x14ac:dyDescent="0.3">
      <c r="A291" s="2">
        <v>4</v>
      </c>
      <c r="B291" s="7" t="s">
        <v>103</v>
      </c>
      <c r="C291" s="4">
        <v>47</v>
      </c>
      <c r="D291" s="4">
        <v>60</v>
      </c>
      <c r="E291" s="4">
        <v>69</v>
      </c>
      <c r="F291" s="5"/>
      <c r="G291" s="6">
        <f t="shared" si="39"/>
        <v>176</v>
      </c>
      <c r="H291" s="4">
        <f t="shared" si="40"/>
        <v>58.666666666666664</v>
      </c>
      <c r="I291" s="4">
        <f t="shared" si="41"/>
        <v>14.666666666666666</v>
      </c>
      <c r="J291" s="5"/>
      <c r="K291" s="4">
        <v>55</v>
      </c>
      <c r="L291" s="4">
        <f t="shared" si="42"/>
        <v>165</v>
      </c>
      <c r="M291" s="4">
        <f t="shared" si="43"/>
        <v>41.25</v>
      </c>
      <c r="N291" s="4">
        <f t="shared" si="44"/>
        <v>55.916666666666664</v>
      </c>
    </row>
    <row r="292" spans="1:14" x14ac:dyDescent="0.3">
      <c r="A292" s="2">
        <v>5</v>
      </c>
      <c r="B292" s="7" t="s">
        <v>88</v>
      </c>
      <c r="C292" s="4">
        <v>55</v>
      </c>
      <c r="D292" s="4">
        <v>54</v>
      </c>
      <c r="E292" s="4">
        <v>54</v>
      </c>
      <c r="F292" s="5"/>
      <c r="G292" s="6">
        <f t="shared" si="39"/>
        <v>163</v>
      </c>
      <c r="H292" s="4">
        <f t="shared" si="40"/>
        <v>54.333333333333336</v>
      </c>
      <c r="I292" s="4">
        <f t="shared" si="41"/>
        <v>13.583333333333334</v>
      </c>
      <c r="J292" s="5"/>
      <c r="K292" s="4">
        <v>52</v>
      </c>
      <c r="L292" s="4">
        <f t="shared" si="42"/>
        <v>156</v>
      </c>
      <c r="M292" s="4">
        <f t="shared" si="43"/>
        <v>39</v>
      </c>
      <c r="N292" s="4">
        <f t="shared" si="44"/>
        <v>52.583333333333336</v>
      </c>
    </row>
    <row r="293" spans="1:14" x14ac:dyDescent="0.3">
      <c r="A293" s="2">
        <v>6</v>
      </c>
      <c r="B293" s="7" t="s">
        <v>93</v>
      </c>
      <c r="C293" s="4">
        <v>84</v>
      </c>
      <c r="D293" s="4">
        <v>89</v>
      </c>
      <c r="E293" s="4">
        <v>92</v>
      </c>
      <c r="F293" s="5"/>
      <c r="G293" s="6">
        <f t="shared" si="39"/>
        <v>265</v>
      </c>
      <c r="H293" s="4">
        <f t="shared" si="40"/>
        <v>88.333333333333329</v>
      </c>
      <c r="I293" s="4">
        <f t="shared" si="41"/>
        <v>22.083333333333332</v>
      </c>
      <c r="J293" s="5"/>
      <c r="K293" s="4">
        <v>90</v>
      </c>
      <c r="L293" s="4">
        <f t="shared" si="42"/>
        <v>270</v>
      </c>
      <c r="M293" s="4">
        <f t="shared" si="43"/>
        <v>67.5</v>
      </c>
      <c r="N293" s="4">
        <f t="shared" si="44"/>
        <v>89.583333333333329</v>
      </c>
    </row>
    <row r="294" spans="1:14" x14ac:dyDescent="0.3">
      <c r="A294" s="2">
        <v>7</v>
      </c>
      <c r="B294" s="7" t="s">
        <v>87</v>
      </c>
      <c r="C294" s="4">
        <v>80</v>
      </c>
      <c r="D294" s="4">
        <v>88</v>
      </c>
      <c r="E294" s="4">
        <v>90</v>
      </c>
      <c r="F294" s="5"/>
      <c r="G294" s="6">
        <f t="shared" si="39"/>
        <v>258</v>
      </c>
      <c r="H294" s="4">
        <f t="shared" si="40"/>
        <v>86</v>
      </c>
      <c r="I294" s="4">
        <f t="shared" si="41"/>
        <v>21.5</v>
      </c>
      <c r="J294" s="5"/>
      <c r="K294" s="4">
        <v>87</v>
      </c>
      <c r="L294" s="4">
        <f t="shared" si="42"/>
        <v>261</v>
      </c>
      <c r="M294" s="4">
        <f t="shared" si="43"/>
        <v>65.25</v>
      </c>
      <c r="N294" s="4">
        <f t="shared" si="44"/>
        <v>86.75</v>
      </c>
    </row>
    <row r="295" spans="1:14" x14ac:dyDescent="0.3">
      <c r="A295" s="2">
        <v>8</v>
      </c>
      <c r="B295" s="7" t="s">
        <v>86</v>
      </c>
      <c r="C295" s="4">
        <v>86</v>
      </c>
      <c r="D295" s="4">
        <v>91</v>
      </c>
      <c r="E295" s="4">
        <v>88</v>
      </c>
      <c r="F295" s="5"/>
      <c r="G295" s="6">
        <f t="shared" si="39"/>
        <v>265</v>
      </c>
      <c r="H295" s="4">
        <f t="shared" si="40"/>
        <v>88.333333333333329</v>
      </c>
      <c r="I295" s="4">
        <f t="shared" si="41"/>
        <v>22.083333333333332</v>
      </c>
      <c r="J295" s="5"/>
      <c r="K295" s="4">
        <v>88</v>
      </c>
      <c r="L295" s="4">
        <f t="shared" si="42"/>
        <v>264</v>
      </c>
      <c r="M295" s="4">
        <f t="shared" si="43"/>
        <v>66</v>
      </c>
      <c r="N295" s="4">
        <f t="shared" si="44"/>
        <v>88.083333333333329</v>
      </c>
    </row>
    <row r="296" spans="1:14" x14ac:dyDescent="0.3">
      <c r="A296" s="2">
        <v>9</v>
      </c>
      <c r="B296" s="7" t="s">
        <v>85</v>
      </c>
      <c r="C296" s="4">
        <v>74</v>
      </c>
      <c r="D296" s="4">
        <v>74</v>
      </c>
      <c r="E296" s="4">
        <v>69</v>
      </c>
      <c r="F296" s="5"/>
      <c r="G296" s="6">
        <f t="shared" si="39"/>
        <v>217</v>
      </c>
      <c r="H296" s="4">
        <f t="shared" si="40"/>
        <v>72.333333333333329</v>
      </c>
      <c r="I296" s="4">
        <f t="shared" si="41"/>
        <v>18.083333333333332</v>
      </c>
      <c r="J296" s="5"/>
      <c r="K296" s="4">
        <v>73</v>
      </c>
      <c r="L296" s="4">
        <f t="shared" si="42"/>
        <v>219</v>
      </c>
      <c r="M296" s="4">
        <f t="shared" si="43"/>
        <v>54.75</v>
      </c>
      <c r="N296" s="4">
        <f t="shared" si="44"/>
        <v>72.833333333333329</v>
      </c>
    </row>
    <row r="297" spans="1:14" x14ac:dyDescent="0.3">
      <c r="A297" s="2">
        <v>10</v>
      </c>
      <c r="B297" s="7" t="s">
        <v>105</v>
      </c>
      <c r="C297" s="4">
        <v>77</v>
      </c>
      <c r="D297" s="4">
        <v>82</v>
      </c>
      <c r="E297" s="4">
        <v>79</v>
      </c>
      <c r="F297" s="5"/>
      <c r="G297" s="6">
        <f t="shared" si="39"/>
        <v>238</v>
      </c>
      <c r="H297" s="4">
        <f t="shared" si="40"/>
        <v>79.333333333333329</v>
      </c>
      <c r="I297" s="4">
        <f t="shared" si="41"/>
        <v>19.833333333333332</v>
      </c>
      <c r="J297" s="5"/>
      <c r="K297" s="4">
        <v>81</v>
      </c>
      <c r="L297" s="4">
        <f t="shared" si="42"/>
        <v>243</v>
      </c>
      <c r="M297" s="4">
        <f t="shared" si="43"/>
        <v>60.75</v>
      </c>
      <c r="N297" s="4">
        <f t="shared" si="44"/>
        <v>80.583333333333329</v>
      </c>
    </row>
    <row r="298" spans="1:14" x14ac:dyDescent="0.3">
      <c r="A298" s="2">
        <v>11</v>
      </c>
      <c r="B298" s="7" t="s">
        <v>99</v>
      </c>
      <c r="C298" s="4">
        <v>59</v>
      </c>
      <c r="D298" s="4">
        <v>65</v>
      </c>
      <c r="E298" s="4">
        <v>65</v>
      </c>
      <c r="F298" s="5"/>
      <c r="G298" s="6">
        <f t="shared" si="39"/>
        <v>189</v>
      </c>
      <c r="H298" s="4">
        <f t="shared" si="40"/>
        <v>63</v>
      </c>
      <c r="I298" s="4">
        <f t="shared" si="41"/>
        <v>15.75</v>
      </c>
      <c r="J298" s="5"/>
      <c r="K298" s="4">
        <v>65</v>
      </c>
      <c r="L298" s="4">
        <f t="shared" si="42"/>
        <v>195</v>
      </c>
      <c r="M298" s="4">
        <f t="shared" si="43"/>
        <v>48.75</v>
      </c>
      <c r="N298" s="4">
        <f t="shared" si="44"/>
        <v>64.5</v>
      </c>
    </row>
    <row r="299" spans="1:14" x14ac:dyDescent="0.3">
      <c r="A299" s="2">
        <v>12</v>
      </c>
      <c r="B299" s="7" t="s">
        <v>104</v>
      </c>
      <c r="C299" s="4">
        <v>65</v>
      </c>
      <c r="D299" s="4">
        <v>45</v>
      </c>
      <c r="E299" s="4">
        <v>65</v>
      </c>
      <c r="F299" s="5"/>
      <c r="G299" s="6">
        <f t="shared" si="39"/>
        <v>175</v>
      </c>
      <c r="H299" s="4">
        <f t="shared" si="40"/>
        <v>58.333333333333336</v>
      </c>
      <c r="I299" s="4">
        <f t="shared" si="41"/>
        <v>14.583333333333334</v>
      </c>
      <c r="J299" s="5"/>
      <c r="K299" s="4">
        <v>59</v>
      </c>
      <c r="L299" s="4">
        <f t="shared" si="42"/>
        <v>177</v>
      </c>
      <c r="M299" s="4">
        <f t="shared" si="43"/>
        <v>44.25</v>
      </c>
      <c r="N299" s="4">
        <f t="shared" si="44"/>
        <v>58.833333333333336</v>
      </c>
    </row>
    <row r="300" spans="1:14" x14ac:dyDescent="0.3">
      <c r="A300" s="2">
        <v>13</v>
      </c>
      <c r="B300" s="7" t="s">
        <v>100</v>
      </c>
      <c r="C300" s="4">
        <v>71</v>
      </c>
      <c r="D300" s="4">
        <v>81</v>
      </c>
      <c r="E300" s="4">
        <v>77</v>
      </c>
      <c r="F300" s="5"/>
      <c r="G300" s="6">
        <f t="shared" si="39"/>
        <v>229</v>
      </c>
      <c r="H300" s="4">
        <f t="shared" si="40"/>
        <v>76.333333333333329</v>
      </c>
      <c r="I300" s="4">
        <f t="shared" si="41"/>
        <v>19.083333333333332</v>
      </c>
      <c r="J300" s="5"/>
      <c r="K300" s="4">
        <v>81</v>
      </c>
      <c r="L300" s="4">
        <f t="shared" si="42"/>
        <v>243</v>
      </c>
      <c r="M300" s="4">
        <f t="shared" si="43"/>
        <v>60.75</v>
      </c>
      <c r="N300" s="4">
        <f t="shared" si="44"/>
        <v>79.833333333333329</v>
      </c>
    </row>
    <row r="301" spans="1:14" x14ac:dyDescent="0.3">
      <c r="A301" s="2">
        <v>14</v>
      </c>
      <c r="B301" s="7" t="s">
        <v>84</v>
      </c>
      <c r="C301" s="4">
        <v>65</v>
      </c>
      <c r="D301" s="4">
        <v>77</v>
      </c>
      <c r="E301" s="4">
        <v>80</v>
      </c>
      <c r="F301" s="5"/>
      <c r="G301" s="6">
        <f t="shared" si="39"/>
        <v>222</v>
      </c>
      <c r="H301" s="4">
        <f t="shared" si="40"/>
        <v>74</v>
      </c>
      <c r="I301" s="4">
        <f t="shared" si="41"/>
        <v>18.5</v>
      </c>
      <c r="J301" s="5"/>
      <c r="K301" s="4">
        <v>66</v>
      </c>
      <c r="L301" s="4">
        <f t="shared" si="42"/>
        <v>198</v>
      </c>
      <c r="M301" s="4">
        <f t="shared" si="43"/>
        <v>49.5</v>
      </c>
      <c r="N301" s="4">
        <f t="shared" si="44"/>
        <v>68</v>
      </c>
    </row>
    <row r="302" spans="1:14" x14ac:dyDescent="0.3">
      <c r="A302" s="2">
        <v>15</v>
      </c>
      <c r="B302" s="7" t="s">
        <v>101</v>
      </c>
      <c r="C302" s="4">
        <v>70</v>
      </c>
      <c r="D302" s="4">
        <v>79</v>
      </c>
      <c r="E302" s="4">
        <v>83</v>
      </c>
      <c r="F302" s="5"/>
      <c r="G302" s="6">
        <f t="shared" si="39"/>
        <v>232</v>
      </c>
      <c r="H302" s="4">
        <f t="shared" si="40"/>
        <v>77.333333333333329</v>
      </c>
      <c r="I302" s="4">
        <f t="shared" si="41"/>
        <v>19.333333333333332</v>
      </c>
      <c r="J302" s="5"/>
      <c r="K302" s="4">
        <v>83</v>
      </c>
      <c r="L302" s="4">
        <f t="shared" si="42"/>
        <v>249</v>
      </c>
      <c r="M302" s="4">
        <f t="shared" si="43"/>
        <v>62.25</v>
      </c>
      <c r="N302" s="4">
        <f t="shared" si="44"/>
        <v>81.583333333333329</v>
      </c>
    </row>
    <row r="303" spans="1:14" x14ac:dyDescent="0.3">
      <c r="A303" s="2">
        <v>16</v>
      </c>
      <c r="B303" s="7" t="s">
        <v>92</v>
      </c>
      <c r="C303" s="4">
        <v>55</v>
      </c>
      <c r="D303" s="4">
        <v>75</v>
      </c>
      <c r="E303" s="4">
        <v>65</v>
      </c>
      <c r="F303" s="5"/>
      <c r="G303" s="6">
        <f t="shared" si="39"/>
        <v>195</v>
      </c>
      <c r="H303" s="4">
        <f t="shared" si="40"/>
        <v>65</v>
      </c>
      <c r="I303" s="4">
        <f t="shared" si="41"/>
        <v>16.25</v>
      </c>
      <c r="J303" s="5"/>
      <c r="K303" s="4">
        <v>58</v>
      </c>
      <c r="L303" s="4">
        <f t="shared" si="42"/>
        <v>174</v>
      </c>
      <c r="M303" s="4">
        <f t="shared" si="43"/>
        <v>43.5</v>
      </c>
      <c r="N303" s="4">
        <f t="shared" si="44"/>
        <v>59.75</v>
      </c>
    </row>
    <row r="304" spans="1:14" x14ac:dyDescent="0.3">
      <c r="A304" s="2">
        <v>17</v>
      </c>
      <c r="B304" s="7" t="s">
        <v>91</v>
      </c>
      <c r="C304" s="4">
        <v>69</v>
      </c>
      <c r="D304" s="4">
        <v>69</v>
      </c>
      <c r="E304" s="4">
        <v>58</v>
      </c>
      <c r="F304" s="5"/>
      <c r="G304" s="6">
        <f t="shared" si="39"/>
        <v>196</v>
      </c>
      <c r="H304" s="4">
        <f t="shared" si="40"/>
        <v>65.333333333333329</v>
      </c>
      <c r="I304" s="4">
        <f t="shared" si="41"/>
        <v>16.333333333333332</v>
      </c>
      <c r="J304" s="5"/>
      <c r="K304" s="4">
        <v>55</v>
      </c>
      <c r="L304" s="4">
        <f t="shared" si="42"/>
        <v>165</v>
      </c>
      <c r="M304" s="4">
        <f t="shared" si="43"/>
        <v>41.25</v>
      </c>
      <c r="N304" s="4">
        <f t="shared" si="44"/>
        <v>57.583333333333329</v>
      </c>
    </row>
    <row r="305" spans="1:14" x14ac:dyDescent="0.3">
      <c r="A305" s="2">
        <v>18</v>
      </c>
      <c r="B305" s="7" t="s">
        <v>95</v>
      </c>
      <c r="C305" s="4">
        <v>54</v>
      </c>
      <c r="D305" s="4">
        <v>58</v>
      </c>
      <c r="E305" s="4">
        <v>66</v>
      </c>
      <c r="F305" s="5"/>
      <c r="G305" s="6">
        <f t="shared" si="39"/>
        <v>178</v>
      </c>
      <c r="H305" s="4">
        <f t="shared" si="40"/>
        <v>59.333333333333336</v>
      </c>
      <c r="I305" s="4">
        <f t="shared" si="41"/>
        <v>14.833333333333334</v>
      </c>
      <c r="J305" s="5"/>
      <c r="K305" s="4">
        <v>59</v>
      </c>
      <c r="L305" s="4">
        <f t="shared" si="42"/>
        <v>177</v>
      </c>
      <c r="M305" s="4">
        <f t="shared" si="43"/>
        <v>44.25</v>
      </c>
      <c r="N305" s="4">
        <f t="shared" si="44"/>
        <v>59.083333333333336</v>
      </c>
    </row>
    <row r="306" spans="1:14" x14ac:dyDescent="0.3">
      <c r="A306" s="2">
        <v>19</v>
      </c>
      <c r="B306" s="7" t="s">
        <v>102</v>
      </c>
      <c r="C306" s="4">
        <v>47</v>
      </c>
      <c r="D306" s="4">
        <v>70</v>
      </c>
      <c r="E306" s="4">
        <v>60</v>
      </c>
      <c r="F306" s="5"/>
      <c r="G306" s="6">
        <f t="shared" si="39"/>
        <v>177</v>
      </c>
      <c r="H306" s="4">
        <f t="shared" si="40"/>
        <v>59</v>
      </c>
      <c r="I306" s="4">
        <f t="shared" si="41"/>
        <v>14.75</v>
      </c>
      <c r="J306" s="5"/>
      <c r="K306" s="4">
        <v>62</v>
      </c>
      <c r="L306" s="4">
        <f t="shared" si="42"/>
        <v>186</v>
      </c>
      <c r="M306" s="4">
        <f t="shared" si="43"/>
        <v>46.5</v>
      </c>
      <c r="N306" s="4">
        <f t="shared" si="44"/>
        <v>61.25</v>
      </c>
    </row>
    <row r="307" spans="1:14" x14ac:dyDescent="0.3">
      <c r="A307" s="2">
        <v>20</v>
      </c>
      <c r="B307" s="7" t="s">
        <v>98</v>
      </c>
      <c r="C307" s="4">
        <v>54</v>
      </c>
      <c r="D307" s="4">
        <v>54</v>
      </c>
      <c r="E307" s="4">
        <v>55</v>
      </c>
      <c r="F307" s="5"/>
      <c r="G307" s="6">
        <f t="shared" si="39"/>
        <v>163</v>
      </c>
      <c r="H307" s="4">
        <f t="shared" si="40"/>
        <v>54.333333333333336</v>
      </c>
      <c r="I307" s="4">
        <f t="shared" si="41"/>
        <v>13.583333333333334</v>
      </c>
      <c r="J307" s="5"/>
      <c r="K307" s="4">
        <v>51</v>
      </c>
      <c r="L307" s="4">
        <f t="shared" si="42"/>
        <v>153</v>
      </c>
      <c r="M307" s="4">
        <f t="shared" si="43"/>
        <v>38.25</v>
      </c>
      <c r="N307" s="4">
        <f t="shared" si="44"/>
        <v>51.833333333333336</v>
      </c>
    </row>
    <row r="308" spans="1:14" x14ac:dyDescent="0.3">
      <c r="A308" s="2">
        <v>21</v>
      </c>
      <c r="B308" s="7" t="s">
        <v>83</v>
      </c>
      <c r="C308" s="4">
        <v>66</v>
      </c>
      <c r="D308" s="4">
        <v>69</v>
      </c>
      <c r="E308" s="4">
        <v>57</v>
      </c>
      <c r="F308" s="5"/>
      <c r="G308" s="6">
        <f t="shared" si="39"/>
        <v>192</v>
      </c>
      <c r="H308" s="4">
        <f t="shared" si="40"/>
        <v>64</v>
      </c>
      <c r="I308" s="4">
        <f t="shared" si="41"/>
        <v>16</v>
      </c>
      <c r="J308" s="5"/>
      <c r="K308" s="4">
        <v>69</v>
      </c>
      <c r="L308" s="4">
        <f t="shared" si="42"/>
        <v>207</v>
      </c>
      <c r="M308" s="4">
        <f t="shared" si="43"/>
        <v>51.75</v>
      </c>
      <c r="N308" s="4">
        <f t="shared" si="44"/>
        <v>67.75</v>
      </c>
    </row>
    <row r="309" spans="1:14" x14ac:dyDescent="0.3">
      <c r="A309" s="2">
        <v>22</v>
      </c>
      <c r="B309" s="7" t="s">
        <v>106</v>
      </c>
      <c r="C309" s="4">
        <v>71</v>
      </c>
      <c r="D309" s="4">
        <v>77</v>
      </c>
      <c r="E309" s="4">
        <v>52</v>
      </c>
      <c r="F309" s="5"/>
      <c r="G309" s="6">
        <f t="shared" si="39"/>
        <v>200</v>
      </c>
      <c r="H309" s="4">
        <f t="shared" si="40"/>
        <v>66.666666666666671</v>
      </c>
      <c r="I309" s="4">
        <f t="shared" si="41"/>
        <v>16.666666666666668</v>
      </c>
      <c r="J309" s="5"/>
      <c r="K309" s="4">
        <v>71</v>
      </c>
      <c r="L309" s="4">
        <f t="shared" si="42"/>
        <v>213</v>
      </c>
      <c r="M309" s="4">
        <f t="shared" si="43"/>
        <v>53.25</v>
      </c>
      <c r="N309" s="4">
        <f t="shared" si="44"/>
        <v>69.916666666666671</v>
      </c>
    </row>
    <row r="310" spans="1:14" x14ac:dyDescent="0.3">
      <c r="A310" s="2">
        <v>23</v>
      </c>
      <c r="B310" s="7" t="s">
        <v>90</v>
      </c>
      <c r="C310" s="4">
        <v>55</v>
      </c>
      <c r="D310" s="4">
        <v>71</v>
      </c>
      <c r="E310" s="4">
        <v>69</v>
      </c>
      <c r="F310" s="5"/>
      <c r="G310" s="6">
        <f t="shared" si="39"/>
        <v>195</v>
      </c>
      <c r="H310" s="4">
        <f t="shared" si="40"/>
        <v>65</v>
      </c>
      <c r="I310" s="4">
        <f t="shared" si="41"/>
        <v>16.25</v>
      </c>
      <c r="J310" s="5"/>
      <c r="K310" s="4">
        <v>62</v>
      </c>
      <c r="L310" s="4">
        <f t="shared" si="42"/>
        <v>186</v>
      </c>
      <c r="M310" s="4">
        <f t="shared" si="43"/>
        <v>46.5</v>
      </c>
      <c r="N310" s="4">
        <f t="shared" si="44"/>
        <v>62.75</v>
      </c>
    </row>
    <row r="311" spans="1:14" x14ac:dyDescent="0.3">
      <c r="A311" s="2">
        <v>24</v>
      </c>
      <c r="B311" s="7" t="s">
        <v>96</v>
      </c>
      <c r="C311" s="4">
        <v>69</v>
      </c>
      <c r="D311" s="4">
        <v>69</v>
      </c>
      <c r="E311" s="4">
        <v>70</v>
      </c>
      <c r="F311" s="5"/>
      <c r="G311" s="6">
        <f t="shared" si="39"/>
        <v>208</v>
      </c>
      <c r="H311" s="4">
        <f t="shared" si="40"/>
        <v>69.333333333333329</v>
      </c>
      <c r="I311" s="4">
        <f t="shared" si="41"/>
        <v>17.333333333333332</v>
      </c>
      <c r="J311" s="5"/>
      <c r="K311" s="4">
        <v>70</v>
      </c>
      <c r="L311" s="4">
        <f t="shared" si="42"/>
        <v>210</v>
      </c>
      <c r="M311" s="4">
        <f t="shared" si="43"/>
        <v>52.5</v>
      </c>
      <c r="N311" s="4">
        <f t="shared" si="44"/>
        <v>69.833333333333329</v>
      </c>
    </row>
    <row r="330" spans="1:15" x14ac:dyDescent="0.3">
      <c r="A330" s="63" t="s">
        <v>0</v>
      </c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</row>
    <row r="331" spans="1:15" x14ac:dyDescent="0.3">
      <c r="A331" s="63" t="s">
        <v>1</v>
      </c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</row>
    <row r="332" spans="1:15" x14ac:dyDescent="0.3">
      <c r="A332" s="63" t="s">
        <v>82</v>
      </c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</row>
    <row r="333" spans="1:15" x14ac:dyDescent="0.3">
      <c r="B333" s="64" t="s">
        <v>47</v>
      </c>
      <c r="C333" s="64"/>
      <c r="D333" s="64"/>
    </row>
    <row r="334" spans="1:15" x14ac:dyDescent="0.3">
      <c r="C334" s="1" t="s">
        <v>4</v>
      </c>
      <c r="D334" s="1" t="s">
        <v>5</v>
      </c>
      <c r="E334" s="1" t="s">
        <v>6</v>
      </c>
      <c r="F334" s="1"/>
      <c r="G334" s="1" t="s">
        <v>7</v>
      </c>
      <c r="H334" s="1" t="s">
        <v>8</v>
      </c>
      <c r="I334" s="3">
        <v>0.25</v>
      </c>
      <c r="J334" s="1"/>
      <c r="K334" s="1" t="s">
        <v>9</v>
      </c>
      <c r="L334" s="1"/>
      <c r="M334" s="3">
        <v>0.75</v>
      </c>
      <c r="N334" s="1" t="s">
        <v>10</v>
      </c>
    </row>
    <row r="335" spans="1:15" x14ac:dyDescent="0.3">
      <c r="A335" s="2">
        <v>1</v>
      </c>
      <c r="B335" s="7" t="s">
        <v>89</v>
      </c>
      <c r="C335" s="4">
        <v>45</v>
      </c>
      <c r="D335" s="4">
        <v>49</v>
      </c>
      <c r="E335" s="4">
        <v>49</v>
      </c>
      <c r="F335" s="5"/>
      <c r="G335" s="6">
        <f>SUM(C335:E335)</f>
        <v>143</v>
      </c>
      <c r="H335" s="4">
        <f>AVERAGE(C335:E335)</f>
        <v>47.666666666666664</v>
      </c>
      <c r="I335" s="4">
        <f>G335/12</f>
        <v>11.916666666666666</v>
      </c>
      <c r="J335" s="5"/>
      <c r="K335" s="4">
        <v>55</v>
      </c>
      <c r="L335" s="4">
        <f>K335*3</f>
        <v>165</v>
      </c>
      <c r="M335" s="4">
        <f>L335/4</f>
        <v>41.25</v>
      </c>
      <c r="N335" s="4">
        <f>M335+I335</f>
        <v>53.166666666666664</v>
      </c>
    </row>
    <row r="336" spans="1:15" x14ac:dyDescent="0.3">
      <c r="A336" s="2">
        <v>2</v>
      </c>
      <c r="B336" s="7" t="s">
        <v>94</v>
      </c>
      <c r="C336" s="4">
        <v>62</v>
      </c>
      <c r="D336" s="4">
        <v>53</v>
      </c>
      <c r="E336" s="4">
        <v>53</v>
      </c>
      <c r="F336" s="5"/>
      <c r="G336" s="6">
        <f t="shared" ref="G336:G358" si="45">SUM(C336:E336)</f>
        <v>168</v>
      </c>
      <c r="H336" s="4">
        <f t="shared" ref="H336:H358" si="46">AVERAGE(C336:E336)</f>
        <v>56</v>
      </c>
      <c r="I336" s="4">
        <f t="shared" ref="I336:I358" si="47">G336/12</f>
        <v>14</v>
      </c>
      <c r="J336" s="5"/>
      <c r="K336" s="4">
        <v>60</v>
      </c>
      <c r="L336" s="4">
        <f t="shared" ref="L336:L358" si="48">K336*3</f>
        <v>180</v>
      </c>
      <c r="M336" s="4">
        <f t="shared" ref="M336:M358" si="49">L336/4</f>
        <v>45</v>
      </c>
      <c r="N336" s="4">
        <f t="shared" ref="N336:N358" si="50">M336+I336</f>
        <v>59</v>
      </c>
    </row>
    <row r="337" spans="1:14" x14ac:dyDescent="0.3">
      <c r="A337" s="2">
        <v>3</v>
      </c>
      <c r="B337" s="7" t="s">
        <v>97</v>
      </c>
      <c r="C337" s="4">
        <v>47</v>
      </c>
      <c r="D337" s="4">
        <v>62</v>
      </c>
      <c r="E337" s="4">
        <v>38</v>
      </c>
      <c r="F337" s="5"/>
      <c r="G337" s="6">
        <f t="shared" si="45"/>
        <v>147</v>
      </c>
      <c r="H337" s="4">
        <f t="shared" si="46"/>
        <v>49</v>
      </c>
      <c r="I337" s="4">
        <f t="shared" si="47"/>
        <v>12.25</v>
      </c>
      <c r="J337" s="5"/>
      <c r="K337" s="4">
        <v>52</v>
      </c>
      <c r="L337" s="4">
        <f t="shared" si="48"/>
        <v>156</v>
      </c>
      <c r="M337" s="4">
        <f t="shared" si="49"/>
        <v>39</v>
      </c>
      <c r="N337" s="4">
        <f t="shared" si="50"/>
        <v>51.25</v>
      </c>
    </row>
    <row r="338" spans="1:14" x14ac:dyDescent="0.3">
      <c r="A338" s="2">
        <v>4</v>
      </c>
      <c r="B338" s="7" t="s">
        <v>103</v>
      </c>
      <c r="C338" s="4">
        <v>52</v>
      </c>
      <c r="D338" s="4">
        <v>44</v>
      </c>
      <c r="E338" s="4">
        <v>62</v>
      </c>
      <c r="F338" s="5"/>
      <c r="G338" s="6">
        <f t="shared" si="45"/>
        <v>158</v>
      </c>
      <c r="H338" s="4">
        <f t="shared" si="46"/>
        <v>52.666666666666664</v>
      </c>
      <c r="I338" s="4">
        <f t="shared" si="47"/>
        <v>13.166666666666666</v>
      </c>
      <c r="J338" s="5"/>
      <c r="K338" s="4">
        <v>49</v>
      </c>
      <c r="L338" s="4">
        <f t="shared" si="48"/>
        <v>147</v>
      </c>
      <c r="M338" s="4">
        <f t="shared" si="49"/>
        <v>36.75</v>
      </c>
      <c r="N338" s="4">
        <f t="shared" si="50"/>
        <v>49.916666666666664</v>
      </c>
    </row>
    <row r="339" spans="1:14" x14ac:dyDescent="0.3">
      <c r="A339" s="2">
        <v>5</v>
      </c>
      <c r="B339" s="7" t="s">
        <v>88</v>
      </c>
      <c r="C339" s="4">
        <v>62</v>
      </c>
      <c r="D339" s="4">
        <v>59</v>
      </c>
      <c r="E339" s="4">
        <v>55</v>
      </c>
      <c r="F339" s="5"/>
      <c r="G339" s="6">
        <f t="shared" si="45"/>
        <v>176</v>
      </c>
      <c r="H339" s="4">
        <f t="shared" si="46"/>
        <v>58.666666666666664</v>
      </c>
      <c r="I339" s="4">
        <f t="shared" si="47"/>
        <v>14.666666666666666</v>
      </c>
      <c r="J339" s="5"/>
      <c r="K339" s="4">
        <v>58</v>
      </c>
      <c r="L339" s="4">
        <f t="shared" si="48"/>
        <v>174</v>
      </c>
      <c r="M339" s="4">
        <f t="shared" si="49"/>
        <v>43.5</v>
      </c>
      <c r="N339" s="4">
        <f t="shared" si="50"/>
        <v>58.166666666666664</v>
      </c>
    </row>
    <row r="340" spans="1:14" x14ac:dyDescent="0.3">
      <c r="A340" s="2">
        <v>6</v>
      </c>
      <c r="B340" s="7" t="s">
        <v>93</v>
      </c>
      <c r="C340" s="4">
        <v>81</v>
      </c>
      <c r="D340" s="4">
        <v>86</v>
      </c>
      <c r="E340" s="4">
        <v>82</v>
      </c>
      <c r="F340" s="5"/>
      <c r="G340" s="6">
        <f t="shared" si="45"/>
        <v>249</v>
      </c>
      <c r="H340" s="4">
        <f t="shared" si="46"/>
        <v>83</v>
      </c>
      <c r="I340" s="4">
        <f t="shared" si="47"/>
        <v>20.75</v>
      </c>
      <c r="J340" s="5"/>
      <c r="K340" s="4">
        <v>84</v>
      </c>
      <c r="L340" s="4">
        <f t="shared" si="48"/>
        <v>252</v>
      </c>
      <c r="M340" s="4">
        <f t="shared" si="49"/>
        <v>63</v>
      </c>
      <c r="N340" s="4">
        <f t="shared" si="50"/>
        <v>83.75</v>
      </c>
    </row>
    <row r="341" spans="1:14" x14ac:dyDescent="0.3">
      <c r="A341" s="2">
        <v>7</v>
      </c>
      <c r="B341" s="7" t="s">
        <v>87</v>
      </c>
      <c r="C341" s="4">
        <v>69</v>
      </c>
      <c r="D341" s="4">
        <v>71</v>
      </c>
      <c r="E341" s="4">
        <v>71</v>
      </c>
      <c r="F341" s="5"/>
      <c r="G341" s="6">
        <f t="shared" si="45"/>
        <v>211</v>
      </c>
      <c r="H341" s="4">
        <f t="shared" si="46"/>
        <v>70.333333333333329</v>
      </c>
      <c r="I341" s="4">
        <f t="shared" si="47"/>
        <v>17.583333333333332</v>
      </c>
      <c r="J341" s="5"/>
      <c r="K341" s="4">
        <v>69</v>
      </c>
      <c r="L341" s="4">
        <f t="shared" si="48"/>
        <v>207</v>
      </c>
      <c r="M341" s="4">
        <f t="shared" si="49"/>
        <v>51.75</v>
      </c>
      <c r="N341" s="4">
        <f t="shared" si="50"/>
        <v>69.333333333333329</v>
      </c>
    </row>
    <row r="342" spans="1:14" x14ac:dyDescent="0.3">
      <c r="A342" s="2">
        <v>8</v>
      </c>
      <c r="B342" s="7" t="s">
        <v>86</v>
      </c>
      <c r="C342" s="4">
        <v>84</v>
      </c>
      <c r="D342" s="4">
        <v>82</v>
      </c>
      <c r="E342" s="4">
        <v>83</v>
      </c>
      <c r="F342" s="5"/>
      <c r="G342" s="6">
        <f t="shared" si="45"/>
        <v>249</v>
      </c>
      <c r="H342" s="4">
        <f t="shared" si="46"/>
        <v>83</v>
      </c>
      <c r="I342" s="4">
        <f t="shared" si="47"/>
        <v>20.75</v>
      </c>
      <c r="J342" s="5"/>
      <c r="K342" s="4">
        <v>82</v>
      </c>
      <c r="L342" s="4">
        <f t="shared" si="48"/>
        <v>246</v>
      </c>
      <c r="M342" s="4">
        <f t="shared" si="49"/>
        <v>61.5</v>
      </c>
      <c r="N342" s="4">
        <f t="shared" si="50"/>
        <v>82.25</v>
      </c>
    </row>
    <row r="343" spans="1:14" x14ac:dyDescent="0.3">
      <c r="A343" s="2">
        <v>9</v>
      </c>
      <c r="B343" s="7" t="s">
        <v>85</v>
      </c>
      <c r="C343" s="4">
        <v>62</v>
      </c>
      <c r="D343" s="4">
        <v>65</v>
      </c>
      <c r="E343" s="4">
        <v>65</v>
      </c>
      <c r="F343" s="5"/>
      <c r="G343" s="6">
        <f t="shared" si="45"/>
        <v>192</v>
      </c>
      <c r="H343" s="4">
        <f t="shared" si="46"/>
        <v>64</v>
      </c>
      <c r="I343" s="4">
        <f t="shared" si="47"/>
        <v>16</v>
      </c>
      <c r="J343" s="5"/>
      <c r="K343" s="4">
        <v>66</v>
      </c>
      <c r="L343" s="4">
        <f t="shared" si="48"/>
        <v>198</v>
      </c>
      <c r="M343" s="4">
        <f t="shared" si="49"/>
        <v>49.5</v>
      </c>
      <c r="N343" s="4">
        <f t="shared" si="50"/>
        <v>65.5</v>
      </c>
    </row>
    <row r="344" spans="1:14" x14ac:dyDescent="0.3">
      <c r="A344" s="2">
        <v>10</v>
      </c>
      <c r="B344" s="7" t="s">
        <v>105</v>
      </c>
      <c r="C344" s="4">
        <v>55</v>
      </c>
      <c r="D344" s="4">
        <v>58</v>
      </c>
      <c r="E344" s="4">
        <v>58</v>
      </c>
      <c r="F344" s="5"/>
      <c r="G344" s="6">
        <f t="shared" si="45"/>
        <v>171</v>
      </c>
      <c r="H344" s="4">
        <f t="shared" si="46"/>
        <v>57</v>
      </c>
      <c r="I344" s="4">
        <f t="shared" si="47"/>
        <v>14.25</v>
      </c>
      <c r="J344" s="5"/>
      <c r="K344" s="4">
        <v>58</v>
      </c>
      <c r="L344" s="4">
        <f t="shared" si="48"/>
        <v>174</v>
      </c>
      <c r="M344" s="4">
        <f t="shared" si="49"/>
        <v>43.5</v>
      </c>
      <c r="N344" s="4">
        <f t="shared" si="50"/>
        <v>57.75</v>
      </c>
    </row>
    <row r="345" spans="1:14" x14ac:dyDescent="0.3">
      <c r="A345" s="2">
        <v>11</v>
      </c>
      <c r="B345" s="7" t="s">
        <v>99</v>
      </c>
      <c r="C345" s="4">
        <v>39</v>
      </c>
      <c r="D345" s="4">
        <v>65</v>
      </c>
      <c r="E345" s="4">
        <v>66</v>
      </c>
      <c r="F345" s="5"/>
      <c r="G345" s="6">
        <f t="shared" si="45"/>
        <v>170</v>
      </c>
      <c r="H345" s="4">
        <f t="shared" si="46"/>
        <v>56.666666666666664</v>
      </c>
      <c r="I345" s="4">
        <f t="shared" si="47"/>
        <v>14.166666666666666</v>
      </c>
      <c r="J345" s="5"/>
      <c r="K345" s="4">
        <v>57</v>
      </c>
      <c r="L345" s="4">
        <f t="shared" si="48"/>
        <v>171</v>
      </c>
      <c r="M345" s="4">
        <f t="shared" si="49"/>
        <v>42.75</v>
      </c>
      <c r="N345" s="4">
        <f t="shared" si="50"/>
        <v>56.916666666666664</v>
      </c>
    </row>
    <row r="346" spans="1:14" x14ac:dyDescent="0.3">
      <c r="A346" s="2">
        <v>12</v>
      </c>
      <c r="B346" s="7" t="s">
        <v>104</v>
      </c>
      <c r="C346" s="4">
        <v>45</v>
      </c>
      <c r="D346" s="4">
        <v>45</v>
      </c>
      <c r="E346" s="4">
        <v>52</v>
      </c>
      <c r="F346" s="5"/>
      <c r="G346" s="6">
        <f t="shared" si="45"/>
        <v>142</v>
      </c>
      <c r="H346" s="4">
        <f t="shared" si="46"/>
        <v>47.333333333333336</v>
      </c>
      <c r="I346" s="4">
        <f t="shared" si="47"/>
        <v>11.833333333333334</v>
      </c>
      <c r="J346" s="5"/>
      <c r="K346" s="4">
        <v>45</v>
      </c>
      <c r="L346" s="4">
        <f t="shared" si="48"/>
        <v>135</v>
      </c>
      <c r="M346" s="4">
        <f t="shared" si="49"/>
        <v>33.75</v>
      </c>
      <c r="N346" s="4">
        <f t="shared" si="50"/>
        <v>45.583333333333336</v>
      </c>
    </row>
    <row r="347" spans="1:14" x14ac:dyDescent="0.3">
      <c r="A347" s="2">
        <v>13</v>
      </c>
      <c r="B347" s="7" t="s">
        <v>100</v>
      </c>
      <c r="C347" s="4">
        <v>28</v>
      </c>
      <c r="D347" s="4">
        <v>52</v>
      </c>
      <c r="E347" s="4">
        <v>58</v>
      </c>
      <c r="F347" s="5"/>
      <c r="G347" s="6">
        <f t="shared" si="45"/>
        <v>138</v>
      </c>
      <c r="H347" s="4">
        <f t="shared" si="46"/>
        <v>46</v>
      </c>
      <c r="I347" s="4">
        <f t="shared" si="47"/>
        <v>11.5</v>
      </c>
      <c r="J347" s="5"/>
      <c r="K347" s="4">
        <v>41</v>
      </c>
      <c r="L347" s="4">
        <f t="shared" si="48"/>
        <v>123</v>
      </c>
      <c r="M347" s="4">
        <f t="shared" si="49"/>
        <v>30.75</v>
      </c>
      <c r="N347" s="4">
        <f t="shared" si="50"/>
        <v>42.25</v>
      </c>
    </row>
    <row r="348" spans="1:14" x14ac:dyDescent="0.3">
      <c r="A348" s="2">
        <v>14</v>
      </c>
      <c r="B348" s="7" t="s">
        <v>84</v>
      </c>
      <c r="C348" s="4">
        <v>44</v>
      </c>
      <c r="D348" s="4">
        <v>38</v>
      </c>
      <c r="E348" s="4">
        <v>62</v>
      </c>
      <c r="F348" s="5"/>
      <c r="G348" s="6">
        <f t="shared" si="45"/>
        <v>144</v>
      </c>
      <c r="H348" s="4">
        <f t="shared" si="46"/>
        <v>48</v>
      </c>
      <c r="I348" s="4">
        <f t="shared" si="47"/>
        <v>12</v>
      </c>
      <c r="J348" s="5"/>
      <c r="K348" s="4">
        <v>49</v>
      </c>
      <c r="L348" s="4">
        <f t="shared" si="48"/>
        <v>147</v>
      </c>
      <c r="M348" s="4">
        <f t="shared" si="49"/>
        <v>36.75</v>
      </c>
      <c r="N348" s="4">
        <f t="shared" si="50"/>
        <v>48.75</v>
      </c>
    </row>
    <row r="349" spans="1:14" x14ac:dyDescent="0.3">
      <c r="A349" s="2">
        <v>15</v>
      </c>
      <c r="B349" s="7" t="s">
        <v>101</v>
      </c>
      <c r="C349" s="4">
        <v>79</v>
      </c>
      <c r="D349" s="4">
        <v>82</v>
      </c>
      <c r="E349" s="4">
        <v>81</v>
      </c>
      <c r="F349" s="5"/>
      <c r="G349" s="6">
        <f t="shared" si="45"/>
        <v>242</v>
      </c>
      <c r="H349" s="4">
        <f t="shared" si="46"/>
        <v>80.666666666666671</v>
      </c>
      <c r="I349" s="4">
        <f t="shared" si="47"/>
        <v>20.166666666666668</v>
      </c>
      <c r="J349" s="5"/>
      <c r="K349" s="4">
        <v>85</v>
      </c>
      <c r="L349" s="4">
        <f t="shared" si="48"/>
        <v>255</v>
      </c>
      <c r="M349" s="4">
        <f t="shared" si="49"/>
        <v>63.75</v>
      </c>
      <c r="N349" s="4">
        <f t="shared" si="50"/>
        <v>83.916666666666671</v>
      </c>
    </row>
    <row r="350" spans="1:14" x14ac:dyDescent="0.3">
      <c r="A350" s="2">
        <v>16</v>
      </c>
      <c r="B350" s="7" t="s">
        <v>92</v>
      </c>
      <c r="C350" s="4">
        <v>65</v>
      </c>
      <c r="D350" s="4">
        <v>67</v>
      </c>
      <c r="E350" s="4">
        <v>62</v>
      </c>
      <c r="F350" s="5"/>
      <c r="G350" s="6">
        <f t="shared" si="45"/>
        <v>194</v>
      </c>
      <c r="H350" s="4">
        <f t="shared" si="46"/>
        <v>64.666666666666671</v>
      </c>
      <c r="I350" s="4">
        <f t="shared" si="47"/>
        <v>16.166666666666668</v>
      </c>
      <c r="J350" s="5"/>
      <c r="K350" s="4">
        <v>62</v>
      </c>
      <c r="L350" s="4">
        <f t="shared" si="48"/>
        <v>186</v>
      </c>
      <c r="M350" s="4">
        <f t="shared" si="49"/>
        <v>46.5</v>
      </c>
      <c r="N350" s="4">
        <f t="shared" si="50"/>
        <v>62.666666666666671</v>
      </c>
    </row>
    <row r="351" spans="1:14" x14ac:dyDescent="0.3">
      <c r="A351" s="2">
        <v>17</v>
      </c>
      <c r="B351" s="7" t="s">
        <v>91</v>
      </c>
      <c r="C351" s="4">
        <v>55</v>
      </c>
      <c r="D351" s="4">
        <v>58</v>
      </c>
      <c r="E351" s="4">
        <v>62</v>
      </c>
      <c r="F351" s="5"/>
      <c r="G351" s="6">
        <f t="shared" si="45"/>
        <v>175</v>
      </c>
      <c r="H351" s="4">
        <f t="shared" si="46"/>
        <v>58.333333333333336</v>
      </c>
      <c r="I351" s="4">
        <f t="shared" si="47"/>
        <v>14.583333333333334</v>
      </c>
      <c r="J351" s="5"/>
      <c r="K351" s="4">
        <v>55</v>
      </c>
      <c r="L351" s="4">
        <f t="shared" si="48"/>
        <v>165</v>
      </c>
      <c r="M351" s="4">
        <f t="shared" si="49"/>
        <v>41.25</v>
      </c>
      <c r="N351" s="4">
        <f t="shared" si="50"/>
        <v>55.833333333333336</v>
      </c>
    </row>
    <row r="352" spans="1:14" x14ac:dyDescent="0.3">
      <c r="A352" s="2">
        <v>18</v>
      </c>
      <c r="B352" s="7" t="s">
        <v>95</v>
      </c>
      <c r="C352" s="4">
        <v>48</v>
      </c>
      <c r="D352" s="4">
        <v>48</v>
      </c>
      <c r="E352" s="4">
        <v>58</v>
      </c>
      <c r="F352" s="5"/>
      <c r="G352" s="6">
        <f t="shared" si="45"/>
        <v>154</v>
      </c>
      <c r="H352" s="4">
        <f t="shared" si="46"/>
        <v>51.333333333333336</v>
      </c>
      <c r="I352" s="4">
        <f t="shared" si="47"/>
        <v>12.833333333333334</v>
      </c>
      <c r="J352" s="5"/>
      <c r="K352" s="4">
        <v>48</v>
      </c>
      <c r="L352" s="4">
        <f t="shared" si="48"/>
        <v>144</v>
      </c>
      <c r="M352" s="4">
        <f t="shared" si="49"/>
        <v>36</v>
      </c>
      <c r="N352" s="4">
        <f t="shared" si="50"/>
        <v>48.833333333333336</v>
      </c>
    </row>
    <row r="353" spans="1:14" x14ac:dyDescent="0.3">
      <c r="A353" s="2">
        <v>19</v>
      </c>
      <c r="B353" s="7" t="s">
        <v>102</v>
      </c>
      <c r="C353" s="4">
        <v>65</v>
      </c>
      <c r="D353" s="4">
        <v>70</v>
      </c>
      <c r="E353" s="4">
        <v>72</v>
      </c>
      <c r="F353" s="5"/>
      <c r="G353" s="6">
        <f t="shared" si="45"/>
        <v>207</v>
      </c>
      <c r="H353" s="4">
        <f t="shared" si="46"/>
        <v>69</v>
      </c>
      <c r="I353" s="4">
        <f t="shared" si="47"/>
        <v>17.25</v>
      </c>
      <c r="J353" s="5"/>
      <c r="K353" s="4">
        <v>62</v>
      </c>
      <c r="L353" s="4">
        <f t="shared" si="48"/>
        <v>186</v>
      </c>
      <c r="M353" s="4">
        <f t="shared" si="49"/>
        <v>46.5</v>
      </c>
      <c r="N353" s="4">
        <f t="shared" si="50"/>
        <v>63.75</v>
      </c>
    </row>
    <row r="354" spans="1:14" x14ac:dyDescent="0.3">
      <c r="A354" s="2">
        <v>20</v>
      </c>
      <c r="B354" s="7" t="s">
        <v>98</v>
      </c>
      <c r="C354" s="4">
        <v>47</v>
      </c>
      <c r="D354" s="4">
        <v>66</v>
      </c>
      <c r="E354" s="4">
        <v>58</v>
      </c>
      <c r="F354" s="5"/>
      <c r="G354" s="6">
        <f t="shared" si="45"/>
        <v>171</v>
      </c>
      <c r="H354" s="4">
        <f t="shared" si="46"/>
        <v>57</v>
      </c>
      <c r="I354" s="4">
        <f t="shared" si="47"/>
        <v>14.25</v>
      </c>
      <c r="J354" s="5"/>
      <c r="K354" s="4">
        <v>58</v>
      </c>
      <c r="L354" s="4">
        <f t="shared" si="48"/>
        <v>174</v>
      </c>
      <c r="M354" s="4">
        <f t="shared" si="49"/>
        <v>43.5</v>
      </c>
      <c r="N354" s="4">
        <f t="shared" si="50"/>
        <v>57.75</v>
      </c>
    </row>
    <row r="355" spans="1:14" x14ac:dyDescent="0.3">
      <c r="A355" s="2">
        <v>21</v>
      </c>
      <c r="B355" s="7" t="s">
        <v>83</v>
      </c>
      <c r="C355" s="4">
        <v>71</v>
      </c>
      <c r="D355" s="4">
        <v>73</v>
      </c>
      <c r="E355" s="4">
        <v>62</v>
      </c>
      <c r="F355" s="5"/>
      <c r="G355" s="6">
        <f t="shared" si="45"/>
        <v>206</v>
      </c>
      <c r="H355" s="4">
        <f t="shared" si="46"/>
        <v>68.666666666666671</v>
      </c>
      <c r="I355" s="4">
        <f t="shared" si="47"/>
        <v>17.166666666666668</v>
      </c>
      <c r="J355" s="5"/>
      <c r="K355" s="4">
        <v>67</v>
      </c>
      <c r="L355" s="4">
        <f t="shared" si="48"/>
        <v>201</v>
      </c>
      <c r="M355" s="4">
        <f t="shared" si="49"/>
        <v>50.25</v>
      </c>
      <c r="N355" s="4">
        <f t="shared" si="50"/>
        <v>67.416666666666671</v>
      </c>
    </row>
    <row r="356" spans="1:14" x14ac:dyDescent="0.3">
      <c r="A356" s="2">
        <v>22</v>
      </c>
      <c r="B356" s="7" t="s">
        <v>106</v>
      </c>
      <c r="C356" s="4">
        <v>65</v>
      </c>
      <c r="D356" s="4">
        <v>55</v>
      </c>
      <c r="E356" s="4">
        <v>75</v>
      </c>
      <c r="F356" s="5"/>
      <c r="G356" s="6">
        <f t="shared" si="45"/>
        <v>195</v>
      </c>
      <c r="H356" s="4">
        <f t="shared" si="46"/>
        <v>65</v>
      </c>
      <c r="I356" s="4">
        <f t="shared" si="47"/>
        <v>16.25</v>
      </c>
      <c r="J356" s="5"/>
      <c r="K356" s="4">
        <v>62</v>
      </c>
      <c r="L356" s="4">
        <f t="shared" si="48"/>
        <v>186</v>
      </c>
      <c r="M356" s="4">
        <f t="shared" si="49"/>
        <v>46.5</v>
      </c>
      <c r="N356" s="4">
        <f t="shared" si="50"/>
        <v>62.75</v>
      </c>
    </row>
    <row r="357" spans="1:14" x14ac:dyDescent="0.3">
      <c r="A357" s="2">
        <v>23</v>
      </c>
      <c r="B357" s="7" t="s">
        <v>90</v>
      </c>
      <c r="C357" s="4">
        <v>44</v>
      </c>
      <c r="D357" s="4">
        <v>58</v>
      </c>
      <c r="E357" s="4">
        <v>58</v>
      </c>
      <c r="F357" s="5"/>
      <c r="G357" s="6">
        <f t="shared" si="45"/>
        <v>160</v>
      </c>
      <c r="H357" s="4">
        <f t="shared" si="46"/>
        <v>53.333333333333336</v>
      </c>
      <c r="I357" s="4">
        <f t="shared" si="47"/>
        <v>13.333333333333334</v>
      </c>
      <c r="J357" s="5"/>
      <c r="K357" s="4">
        <v>50</v>
      </c>
      <c r="L357" s="4">
        <f t="shared" si="48"/>
        <v>150</v>
      </c>
      <c r="M357" s="4">
        <f t="shared" si="49"/>
        <v>37.5</v>
      </c>
      <c r="N357" s="4">
        <f t="shared" si="50"/>
        <v>50.833333333333336</v>
      </c>
    </row>
    <row r="358" spans="1:14" x14ac:dyDescent="0.3">
      <c r="A358" s="2">
        <v>24</v>
      </c>
      <c r="B358" s="7" t="s">
        <v>96</v>
      </c>
      <c r="C358" s="4">
        <v>55</v>
      </c>
      <c r="D358" s="4">
        <v>62</v>
      </c>
      <c r="E358" s="4">
        <v>62</v>
      </c>
      <c r="F358" s="5"/>
      <c r="G358" s="6">
        <f t="shared" si="45"/>
        <v>179</v>
      </c>
      <c r="H358" s="4">
        <f t="shared" si="46"/>
        <v>59.666666666666664</v>
      </c>
      <c r="I358" s="4">
        <f t="shared" si="47"/>
        <v>14.916666666666666</v>
      </c>
      <c r="J358" s="5"/>
      <c r="K358" s="4">
        <v>69</v>
      </c>
      <c r="L358" s="4">
        <f t="shared" si="48"/>
        <v>207</v>
      </c>
      <c r="M358" s="4">
        <f t="shared" si="49"/>
        <v>51.75</v>
      </c>
      <c r="N358" s="4">
        <f t="shared" si="50"/>
        <v>66.666666666666671</v>
      </c>
    </row>
  </sheetData>
  <sortState ref="B6:B29">
    <sortCondition ref="B6"/>
  </sortState>
  <mergeCells count="32">
    <mergeCell ref="A332:O332"/>
    <mergeCell ref="B333:D333"/>
    <mergeCell ref="A283:O283"/>
    <mergeCell ref="A284:O284"/>
    <mergeCell ref="A285:O285"/>
    <mergeCell ref="B286:D286"/>
    <mergeCell ref="A330:O330"/>
    <mergeCell ref="A331:O331"/>
    <mergeCell ref="B239:D239"/>
    <mergeCell ref="B145:D145"/>
    <mergeCell ref="A189:O189"/>
    <mergeCell ref="A190:O190"/>
    <mergeCell ref="A142:O142"/>
    <mergeCell ref="A143:O143"/>
    <mergeCell ref="A144:O144"/>
    <mergeCell ref="A191:O191"/>
    <mergeCell ref="B192:D192"/>
    <mergeCell ref="A236:O236"/>
    <mergeCell ref="A237:O237"/>
    <mergeCell ref="A238:O238"/>
    <mergeCell ref="A96:O96"/>
    <mergeCell ref="A97:O97"/>
    <mergeCell ref="B98:D98"/>
    <mergeCell ref="A48:O48"/>
    <mergeCell ref="A49:O49"/>
    <mergeCell ref="A50:O50"/>
    <mergeCell ref="B51:D51"/>
    <mergeCell ref="A1:O1"/>
    <mergeCell ref="A2:O2"/>
    <mergeCell ref="A3:O3"/>
    <mergeCell ref="B4:D4"/>
    <mergeCell ref="A95:O95"/>
  </mergeCells>
  <printOptions gridLines="1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185"/>
  <sheetViews>
    <sheetView topLeftCell="A163" workbookViewId="0">
      <selection activeCell="K170" sqref="K170:K185"/>
    </sheetView>
  </sheetViews>
  <sheetFormatPr defaultRowHeight="14.4" x14ac:dyDescent="0.3"/>
  <cols>
    <col min="1" max="1" width="3.5546875" style="2" customWidth="1"/>
    <col min="2" max="2" width="14.33203125" style="2" customWidth="1"/>
    <col min="3" max="5" width="6.88671875" style="2" customWidth="1"/>
    <col min="6" max="6" width="3" style="2" customWidth="1"/>
    <col min="7" max="9" width="6.88671875" style="2" customWidth="1"/>
    <col min="10" max="10" width="3" style="2" customWidth="1"/>
    <col min="11" max="14" width="6.88671875" style="2" customWidth="1"/>
    <col min="15" max="15" width="4.5546875" customWidth="1"/>
  </cols>
  <sheetData>
    <row r="1" spans="1:1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5" x14ac:dyDescent="0.3">
      <c r="A3" s="63" t="s">
        <v>63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5" x14ac:dyDescent="0.3">
      <c r="B4" s="64" t="s">
        <v>3</v>
      </c>
      <c r="C4" s="64"/>
      <c r="D4" s="64"/>
    </row>
    <row r="5" spans="1:15" x14ac:dyDescent="0.3">
      <c r="C5" s="1" t="s">
        <v>4</v>
      </c>
      <c r="D5" s="1" t="s">
        <v>5</v>
      </c>
      <c r="E5" s="1" t="s">
        <v>6</v>
      </c>
      <c r="F5" s="1"/>
      <c r="G5" s="1" t="s">
        <v>7</v>
      </c>
      <c r="H5" s="1" t="s">
        <v>8</v>
      </c>
      <c r="I5" s="3">
        <v>0.25</v>
      </c>
      <c r="J5" s="1"/>
      <c r="K5" s="1" t="s">
        <v>9</v>
      </c>
      <c r="L5" s="1"/>
      <c r="M5" s="3">
        <v>0.75</v>
      </c>
      <c r="N5" s="1" t="s">
        <v>10</v>
      </c>
    </row>
    <row r="6" spans="1:15" x14ac:dyDescent="0.3">
      <c r="A6" s="2">
        <v>1</v>
      </c>
      <c r="B6" s="8" t="s">
        <v>73</v>
      </c>
      <c r="C6" s="4">
        <v>54</v>
      </c>
      <c r="D6" s="4">
        <v>38</v>
      </c>
      <c r="E6" s="4">
        <v>39</v>
      </c>
      <c r="F6" s="5"/>
      <c r="G6" s="6">
        <f>SUM(C6:E6)</f>
        <v>131</v>
      </c>
      <c r="H6" s="4">
        <f>AVERAGE(C6:E6)</f>
        <v>43.666666666666664</v>
      </c>
      <c r="I6" s="4">
        <f>G6/12</f>
        <v>10.916666666666666</v>
      </c>
      <c r="J6" s="5"/>
      <c r="K6" s="4">
        <v>40</v>
      </c>
      <c r="L6" s="4">
        <f>K6*3</f>
        <v>120</v>
      </c>
      <c r="M6" s="4">
        <f>L6/4</f>
        <v>30</v>
      </c>
      <c r="N6" s="4">
        <f>M6+I6</f>
        <v>40.916666666666664</v>
      </c>
    </row>
    <row r="7" spans="1:15" x14ac:dyDescent="0.3">
      <c r="A7" s="2">
        <v>2</v>
      </c>
      <c r="B7" s="8" t="s">
        <v>74</v>
      </c>
      <c r="C7" s="4">
        <v>38</v>
      </c>
      <c r="D7" s="4">
        <v>45</v>
      </c>
      <c r="E7" s="4">
        <v>45</v>
      </c>
      <c r="F7" s="5"/>
      <c r="G7" s="6">
        <f t="shared" ref="G7:G13" si="0">SUM(C7:E7)</f>
        <v>128</v>
      </c>
      <c r="H7" s="4">
        <f t="shared" ref="H7:H13" si="1">AVERAGE(C7:E7)</f>
        <v>42.666666666666664</v>
      </c>
      <c r="I7" s="4">
        <f t="shared" ref="I7:I13" si="2">G7/12</f>
        <v>10.666666666666666</v>
      </c>
      <c r="J7" s="5"/>
      <c r="K7" s="4">
        <v>39</v>
      </c>
      <c r="L7" s="4">
        <f t="shared" ref="L7:L21" si="3">K7*3</f>
        <v>117</v>
      </c>
      <c r="M7" s="4">
        <f t="shared" ref="M7:M21" si="4">L7/4</f>
        <v>29.25</v>
      </c>
      <c r="N7" s="4">
        <f t="shared" ref="N7:N21" si="5">M7+I7</f>
        <v>39.916666666666664</v>
      </c>
    </row>
    <row r="8" spans="1:15" x14ac:dyDescent="0.3">
      <c r="A8" s="2">
        <v>3</v>
      </c>
      <c r="B8" s="8" t="s">
        <v>68</v>
      </c>
      <c r="C8" s="4">
        <v>42</v>
      </c>
      <c r="D8" s="4">
        <v>33</v>
      </c>
      <c r="E8" s="4">
        <v>39</v>
      </c>
      <c r="F8" s="5"/>
      <c r="G8" s="6">
        <f t="shared" si="0"/>
        <v>114</v>
      </c>
      <c r="H8" s="4">
        <f t="shared" si="1"/>
        <v>38</v>
      </c>
      <c r="I8" s="4">
        <f t="shared" si="2"/>
        <v>9.5</v>
      </c>
      <c r="J8" s="5"/>
      <c r="K8" s="4">
        <v>42</v>
      </c>
      <c r="L8" s="4">
        <f t="shared" si="3"/>
        <v>126</v>
      </c>
      <c r="M8" s="4">
        <f t="shared" si="4"/>
        <v>31.5</v>
      </c>
      <c r="N8" s="4">
        <f t="shared" si="5"/>
        <v>41</v>
      </c>
    </row>
    <row r="9" spans="1:15" x14ac:dyDescent="0.3">
      <c r="A9" s="2">
        <v>4</v>
      </c>
      <c r="B9" s="8" t="s">
        <v>75</v>
      </c>
      <c r="C9" s="4">
        <v>33</v>
      </c>
      <c r="D9" s="4">
        <v>41</v>
      </c>
      <c r="E9" s="4">
        <v>42</v>
      </c>
      <c r="F9" s="5"/>
      <c r="G9" s="6">
        <f t="shared" si="0"/>
        <v>116</v>
      </c>
      <c r="H9" s="4">
        <f t="shared" si="1"/>
        <v>38.666666666666664</v>
      </c>
      <c r="I9" s="4">
        <f t="shared" si="2"/>
        <v>9.6666666666666661</v>
      </c>
      <c r="J9" s="5"/>
      <c r="K9" s="4">
        <v>42</v>
      </c>
      <c r="L9" s="4">
        <f t="shared" si="3"/>
        <v>126</v>
      </c>
      <c r="M9" s="4">
        <f t="shared" si="4"/>
        <v>31.5</v>
      </c>
      <c r="N9" s="4">
        <f t="shared" si="5"/>
        <v>41.166666666666664</v>
      </c>
    </row>
    <row r="10" spans="1:15" x14ac:dyDescent="0.3">
      <c r="A10" s="2">
        <v>5</v>
      </c>
      <c r="B10" s="8" t="s">
        <v>64</v>
      </c>
      <c r="C10" s="4">
        <v>69</v>
      </c>
      <c r="D10" s="4">
        <v>71</v>
      </c>
      <c r="E10" s="4">
        <v>65</v>
      </c>
      <c r="F10" s="5"/>
      <c r="G10" s="6">
        <f t="shared" si="0"/>
        <v>205</v>
      </c>
      <c r="H10" s="4">
        <f t="shared" si="1"/>
        <v>68.333333333333329</v>
      </c>
      <c r="I10" s="4">
        <f t="shared" si="2"/>
        <v>17.083333333333332</v>
      </c>
      <c r="J10" s="5"/>
      <c r="K10" s="4">
        <v>69</v>
      </c>
      <c r="L10" s="4">
        <f t="shared" si="3"/>
        <v>207</v>
      </c>
      <c r="M10" s="4">
        <f t="shared" si="4"/>
        <v>51.75</v>
      </c>
      <c r="N10" s="4">
        <f t="shared" si="5"/>
        <v>68.833333333333329</v>
      </c>
    </row>
    <row r="11" spans="1:15" x14ac:dyDescent="0.3">
      <c r="A11" s="2">
        <v>6</v>
      </c>
      <c r="B11" s="8" t="s">
        <v>66</v>
      </c>
      <c r="C11" s="4">
        <v>72</v>
      </c>
      <c r="D11" s="4">
        <v>62</v>
      </c>
      <c r="E11" s="4">
        <v>62</v>
      </c>
      <c r="F11" s="5"/>
      <c r="G11" s="6">
        <f t="shared" si="0"/>
        <v>196</v>
      </c>
      <c r="H11" s="4">
        <f t="shared" si="1"/>
        <v>65.333333333333329</v>
      </c>
      <c r="I11" s="4">
        <f t="shared" si="2"/>
        <v>16.333333333333332</v>
      </c>
      <c r="J11" s="5"/>
      <c r="K11" s="4">
        <v>62</v>
      </c>
      <c r="L11" s="4">
        <f t="shared" si="3"/>
        <v>186</v>
      </c>
      <c r="M11" s="4">
        <f t="shared" si="4"/>
        <v>46.5</v>
      </c>
      <c r="N11" s="4">
        <f t="shared" si="5"/>
        <v>62.833333333333329</v>
      </c>
    </row>
    <row r="12" spans="1:15" x14ac:dyDescent="0.3">
      <c r="A12" s="2">
        <v>7</v>
      </c>
      <c r="B12" s="8" t="s">
        <v>76</v>
      </c>
      <c r="C12" s="4">
        <v>52</v>
      </c>
      <c r="D12" s="4">
        <v>52</v>
      </c>
      <c r="E12" s="4">
        <v>55</v>
      </c>
      <c r="F12" s="5"/>
      <c r="G12" s="6">
        <f t="shared" si="0"/>
        <v>159</v>
      </c>
      <c r="H12" s="4">
        <f t="shared" si="1"/>
        <v>53</v>
      </c>
      <c r="I12" s="4">
        <f t="shared" si="2"/>
        <v>13.25</v>
      </c>
      <c r="J12" s="5"/>
      <c r="K12" s="4">
        <v>50</v>
      </c>
      <c r="L12" s="4">
        <f t="shared" si="3"/>
        <v>150</v>
      </c>
      <c r="M12" s="4">
        <f t="shared" si="4"/>
        <v>37.5</v>
      </c>
      <c r="N12" s="4">
        <f t="shared" si="5"/>
        <v>50.75</v>
      </c>
    </row>
    <row r="13" spans="1:15" x14ac:dyDescent="0.3">
      <c r="A13" s="2">
        <v>8</v>
      </c>
      <c r="B13" s="8" t="s">
        <v>67</v>
      </c>
      <c r="C13" s="4">
        <v>69</v>
      </c>
      <c r="D13" s="4">
        <v>66</v>
      </c>
      <c r="E13" s="4">
        <v>69</v>
      </c>
      <c r="F13" s="5"/>
      <c r="G13" s="6">
        <f t="shared" si="0"/>
        <v>204</v>
      </c>
      <c r="H13" s="4">
        <f t="shared" si="1"/>
        <v>68</v>
      </c>
      <c r="I13" s="4">
        <f t="shared" si="2"/>
        <v>17</v>
      </c>
      <c r="J13" s="5"/>
      <c r="K13" s="4">
        <v>69</v>
      </c>
      <c r="L13" s="4">
        <f t="shared" si="3"/>
        <v>207</v>
      </c>
      <c r="M13" s="4">
        <f t="shared" si="4"/>
        <v>51.75</v>
      </c>
      <c r="N13" s="4">
        <f t="shared" si="5"/>
        <v>68.75</v>
      </c>
    </row>
    <row r="14" spans="1:15" x14ac:dyDescent="0.3">
      <c r="A14" s="2">
        <v>9</v>
      </c>
      <c r="B14" s="8" t="s">
        <v>79</v>
      </c>
      <c r="C14" s="4">
        <v>38</v>
      </c>
      <c r="D14" s="4">
        <v>28</v>
      </c>
      <c r="E14" s="4">
        <v>38</v>
      </c>
      <c r="F14" s="5"/>
      <c r="G14" s="6">
        <f t="shared" ref="G14:G21" si="6">SUM(C14:E14)</f>
        <v>104</v>
      </c>
      <c r="H14" s="4">
        <f t="shared" ref="H14:H21" si="7">AVERAGE(C14:E14)</f>
        <v>34.666666666666664</v>
      </c>
      <c r="I14" s="4">
        <f t="shared" ref="I14:I21" si="8">G14/12</f>
        <v>8.6666666666666661</v>
      </c>
      <c r="J14" s="5"/>
      <c r="K14" s="4">
        <v>35</v>
      </c>
      <c r="L14" s="4">
        <f t="shared" si="3"/>
        <v>105</v>
      </c>
      <c r="M14" s="4">
        <f t="shared" si="4"/>
        <v>26.25</v>
      </c>
      <c r="N14" s="4">
        <f t="shared" si="5"/>
        <v>34.916666666666664</v>
      </c>
    </row>
    <row r="15" spans="1:15" x14ac:dyDescent="0.3">
      <c r="A15" s="2">
        <v>10</v>
      </c>
      <c r="B15" s="8" t="s">
        <v>72</v>
      </c>
      <c r="C15" s="4">
        <v>52</v>
      </c>
      <c r="D15" s="4">
        <v>45</v>
      </c>
      <c r="E15" s="4">
        <v>45</v>
      </c>
      <c r="F15" s="5"/>
      <c r="G15" s="6">
        <f t="shared" si="6"/>
        <v>142</v>
      </c>
      <c r="H15" s="4">
        <f t="shared" si="7"/>
        <v>47.333333333333336</v>
      </c>
      <c r="I15" s="4">
        <f t="shared" si="8"/>
        <v>11.833333333333334</v>
      </c>
      <c r="J15" s="5"/>
      <c r="K15" s="4">
        <v>45</v>
      </c>
      <c r="L15" s="4">
        <f t="shared" si="3"/>
        <v>135</v>
      </c>
      <c r="M15" s="4">
        <f t="shared" si="4"/>
        <v>33.75</v>
      </c>
      <c r="N15" s="4">
        <f t="shared" si="5"/>
        <v>45.583333333333336</v>
      </c>
    </row>
    <row r="16" spans="1:15" x14ac:dyDescent="0.3">
      <c r="A16" s="2">
        <v>11</v>
      </c>
      <c r="B16" s="8" t="s">
        <v>71</v>
      </c>
      <c r="C16" s="4">
        <v>33</v>
      </c>
      <c r="D16" s="4">
        <v>40</v>
      </c>
      <c r="E16" s="4">
        <v>43</v>
      </c>
      <c r="F16" s="5"/>
      <c r="G16" s="6">
        <f t="shared" si="6"/>
        <v>116</v>
      </c>
      <c r="H16" s="4">
        <f t="shared" si="7"/>
        <v>38.666666666666664</v>
      </c>
      <c r="I16" s="4">
        <f t="shared" si="8"/>
        <v>9.6666666666666661</v>
      </c>
      <c r="J16" s="5"/>
      <c r="K16" s="4">
        <v>42</v>
      </c>
      <c r="L16" s="4">
        <f t="shared" si="3"/>
        <v>126</v>
      </c>
      <c r="M16" s="4">
        <f t="shared" si="4"/>
        <v>31.5</v>
      </c>
      <c r="N16" s="4">
        <f t="shared" si="5"/>
        <v>41.166666666666664</v>
      </c>
    </row>
    <row r="17" spans="1:15" x14ac:dyDescent="0.3">
      <c r="A17" s="2">
        <v>12</v>
      </c>
      <c r="B17" s="8" t="s">
        <v>70</v>
      </c>
      <c r="C17" s="4">
        <v>35</v>
      </c>
      <c r="D17" s="4">
        <v>38</v>
      </c>
      <c r="E17" s="4">
        <v>38</v>
      </c>
      <c r="F17" s="5"/>
      <c r="G17" s="6">
        <f t="shared" si="6"/>
        <v>111</v>
      </c>
      <c r="H17" s="4">
        <f t="shared" si="7"/>
        <v>37</v>
      </c>
      <c r="I17" s="4">
        <f t="shared" si="8"/>
        <v>9.25</v>
      </c>
      <c r="J17" s="5"/>
      <c r="K17" s="4">
        <v>33</v>
      </c>
      <c r="L17" s="4">
        <f t="shared" si="3"/>
        <v>99</v>
      </c>
      <c r="M17" s="4">
        <f t="shared" si="4"/>
        <v>24.75</v>
      </c>
      <c r="N17" s="4">
        <f t="shared" si="5"/>
        <v>34</v>
      </c>
    </row>
    <row r="18" spans="1:15" x14ac:dyDescent="0.3">
      <c r="A18" s="2">
        <v>13</v>
      </c>
      <c r="B18" s="8" t="s">
        <v>77</v>
      </c>
      <c r="C18" s="4">
        <v>25</v>
      </c>
      <c r="D18" s="4">
        <v>41</v>
      </c>
      <c r="E18" s="4">
        <v>42</v>
      </c>
      <c r="F18" s="5"/>
      <c r="G18" s="6">
        <f t="shared" si="6"/>
        <v>108</v>
      </c>
      <c r="H18" s="4">
        <f t="shared" si="7"/>
        <v>36</v>
      </c>
      <c r="I18" s="4">
        <f t="shared" si="8"/>
        <v>9</v>
      </c>
      <c r="J18" s="5"/>
      <c r="K18" s="4">
        <v>38</v>
      </c>
      <c r="L18" s="4">
        <f t="shared" si="3"/>
        <v>114</v>
      </c>
      <c r="M18" s="4">
        <f t="shared" si="4"/>
        <v>28.5</v>
      </c>
      <c r="N18" s="4">
        <f t="shared" si="5"/>
        <v>37.5</v>
      </c>
    </row>
    <row r="19" spans="1:15" x14ac:dyDescent="0.3">
      <c r="A19" s="2">
        <v>14</v>
      </c>
      <c r="B19" s="8" t="s">
        <v>69</v>
      </c>
      <c r="C19" s="4">
        <v>45</v>
      </c>
      <c r="D19" s="4">
        <v>38</v>
      </c>
      <c r="E19" s="4">
        <v>38</v>
      </c>
      <c r="F19" s="5"/>
      <c r="G19" s="6">
        <f t="shared" si="6"/>
        <v>121</v>
      </c>
      <c r="H19" s="4">
        <f t="shared" si="7"/>
        <v>40.333333333333336</v>
      </c>
      <c r="I19" s="4">
        <f t="shared" si="8"/>
        <v>10.083333333333334</v>
      </c>
      <c r="J19" s="5"/>
      <c r="K19" s="4">
        <v>42</v>
      </c>
      <c r="L19" s="4">
        <f t="shared" si="3"/>
        <v>126</v>
      </c>
      <c r="M19" s="4">
        <f t="shared" si="4"/>
        <v>31.5</v>
      </c>
      <c r="N19" s="4">
        <f t="shared" si="5"/>
        <v>41.583333333333336</v>
      </c>
    </row>
    <row r="20" spans="1:15" x14ac:dyDescent="0.3">
      <c r="A20" s="2">
        <v>15</v>
      </c>
      <c r="B20" s="8" t="s">
        <v>65</v>
      </c>
      <c r="C20" s="4">
        <v>73</v>
      </c>
      <c r="D20" s="4">
        <v>71</v>
      </c>
      <c r="E20" s="4">
        <v>71</v>
      </c>
      <c r="F20" s="5"/>
      <c r="G20" s="6">
        <f t="shared" si="6"/>
        <v>215</v>
      </c>
      <c r="H20" s="4">
        <f t="shared" si="7"/>
        <v>71.666666666666671</v>
      </c>
      <c r="I20" s="4">
        <f t="shared" si="8"/>
        <v>17.916666666666668</v>
      </c>
      <c r="J20" s="5"/>
      <c r="K20" s="4">
        <v>75</v>
      </c>
      <c r="L20" s="4">
        <f t="shared" si="3"/>
        <v>225</v>
      </c>
      <c r="M20" s="4">
        <f t="shared" si="4"/>
        <v>56.25</v>
      </c>
      <c r="N20" s="4">
        <f t="shared" si="5"/>
        <v>74.166666666666671</v>
      </c>
    </row>
    <row r="21" spans="1:15" x14ac:dyDescent="0.3">
      <c r="A21" s="2">
        <v>16</v>
      </c>
      <c r="B21" s="8" t="s">
        <v>78</v>
      </c>
      <c r="C21" s="4">
        <v>32</v>
      </c>
      <c r="D21" s="4">
        <v>40</v>
      </c>
      <c r="E21" s="4">
        <v>33</v>
      </c>
      <c r="F21" s="5"/>
      <c r="G21" s="6">
        <f t="shared" si="6"/>
        <v>105</v>
      </c>
      <c r="H21" s="4">
        <f t="shared" si="7"/>
        <v>35</v>
      </c>
      <c r="I21" s="4">
        <f t="shared" si="8"/>
        <v>8.75</v>
      </c>
      <c r="J21" s="5"/>
      <c r="K21" s="4">
        <v>30</v>
      </c>
      <c r="L21" s="4">
        <f t="shared" si="3"/>
        <v>90</v>
      </c>
      <c r="M21" s="4">
        <f t="shared" si="4"/>
        <v>22.5</v>
      </c>
      <c r="N21" s="4">
        <f t="shared" si="5"/>
        <v>31.25</v>
      </c>
    </row>
    <row r="25" spans="1:15" x14ac:dyDescent="0.3">
      <c r="A25" s="63" t="s">
        <v>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1:15" x14ac:dyDescent="0.3">
      <c r="A26" s="63" t="s">
        <v>63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1:15" x14ac:dyDescent="0.3">
      <c r="B27" s="64" t="s">
        <v>80</v>
      </c>
      <c r="C27" s="64"/>
      <c r="D27" s="64"/>
    </row>
    <row r="28" spans="1:15" x14ac:dyDescent="0.3">
      <c r="C28" s="1" t="s">
        <v>4</v>
      </c>
      <c r="D28" s="1" t="s">
        <v>5</v>
      </c>
      <c r="E28" s="1" t="s">
        <v>6</v>
      </c>
      <c r="F28" s="1"/>
      <c r="G28" s="1" t="s">
        <v>7</v>
      </c>
      <c r="H28" s="1" t="s">
        <v>8</v>
      </c>
      <c r="I28" s="3">
        <v>0.25</v>
      </c>
      <c r="J28" s="1"/>
      <c r="K28" s="1" t="s">
        <v>9</v>
      </c>
      <c r="L28" s="1"/>
      <c r="M28" s="3">
        <v>0.75</v>
      </c>
      <c r="N28" s="1" t="s">
        <v>10</v>
      </c>
    </row>
    <row r="29" spans="1:15" x14ac:dyDescent="0.3">
      <c r="A29" s="2">
        <v>1</v>
      </c>
      <c r="B29" s="8" t="s">
        <v>73</v>
      </c>
      <c r="C29" s="4">
        <v>53</v>
      </c>
      <c r="D29" s="4">
        <v>69</v>
      </c>
      <c r="E29" s="4">
        <v>59</v>
      </c>
      <c r="F29" s="5"/>
      <c r="G29" s="6">
        <f>SUM(C29:E29)</f>
        <v>181</v>
      </c>
      <c r="H29" s="4">
        <f>AVERAGE(C29:E29)</f>
        <v>60.333333333333336</v>
      </c>
      <c r="I29" s="4">
        <f>G29/12</f>
        <v>15.083333333333334</v>
      </c>
      <c r="J29" s="5"/>
      <c r="K29" s="4"/>
      <c r="L29" s="4">
        <f>K29*3</f>
        <v>0</v>
      </c>
      <c r="M29" s="4">
        <f>L29/4</f>
        <v>0</v>
      </c>
      <c r="N29" s="4">
        <f>M29+I29</f>
        <v>15.083333333333334</v>
      </c>
    </row>
    <row r="30" spans="1:15" x14ac:dyDescent="0.3">
      <c r="A30" s="2">
        <v>2</v>
      </c>
      <c r="B30" s="8" t="s">
        <v>74</v>
      </c>
      <c r="C30" s="4">
        <v>62</v>
      </c>
      <c r="D30" s="4">
        <v>52</v>
      </c>
      <c r="E30" s="4">
        <v>62</v>
      </c>
      <c r="F30" s="5"/>
      <c r="G30" s="6">
        <f t="shared" ref="G30:G44" si="9">SUM(C30:E30)</f>
        <v>176</v>
      </c>
      <c r="H30" s="4">
        <f t="shared" ref="H30:H44" si="10">AVERAGE(C30:E30)</f>
        <v>58.666666666666664</v>
      </c>
      <c r="I30" s="4">
        <f t="shared" ref="I30:I44" si="11">G30/12</f>
        <v>14.666666666666666</v>
      </c>
      <c r="J30" s="5"/>
      <c r="K30" s="4"/>
      <c r="L30" s="4">
        <f t="shared" ref="L30:L44" si="12">K30*3</f>
        <v>0</v>
      </c>
      <c r="M30" s="4">
        <f t="shared" ref="M30:M44" si="13">L30/4</f>
        <v>0</v>
      </c>
      <c r="N30" s="4">
        <f t="shared" ref="N30:N44" si="14">M30+I30</f>
        <v>14.666666666666666</v>
      </c>
    </row>
    <row r="31" spans="1:15" x14ac:dyDescent="0.3">
      <c r="A31" s="2">
        <v>3</v>
      </c>
      <c r="B31" s="8" t="s">
        <v>68</v>
      </c>
      <c r="C31" s="4">
        <v>58</v>
      </c>
      <c r="D31" s="4">
        <v>66</v>
      </c>
      <c r="E31" s="4">
        <v>65</v>
      </c>
      <c r="F31" s="5"/>
      <c r="G31" s="6">
        <f t="shared" si="9"/>
        <v>189</v>
      </c>
      <c r="H31" s="4">
        <f t="shared" si="10"/>
        <v>63</v>
      </c>
      <c r="I31" s="4">
        <f t="shared" si="11"/>
        <v>15.75</v>
      </c>
      <c r="J31" s="5"/>
      <c r="K31" s="4"/>
      <c r="L31" s="4">
        <f t="shared" si="12"/>
        <v>0</v>
      </c>
      <c r="M31" s="4">
        <f t="shared" si="13"/>
        <v>0</v>
      </c>
      <c r="N31" s="4">
        <f t="shared" si="14"/>
        <v>15.75</v>
      </c>
    </row>
    <row r="32" spans="1:15" x14ac:dyDescent="0.3">
      <c r="A32" s="2">
        <v>4</v>
      </c>
      <c r="B32" s="8" t="s">
        <v>75</v>
      </c>
      <c r="C32" s="4">
        <v>77</v>
      </c>
      <c r="D32" s="4">
        <v>74</v>
      </c>
      <c r="E32" s="4">
        <v>75</v>
      </c>
      <c r="F32" s="5"/>
      <c r="G32" s="6">
        <f t="shared" si="9"/>
        <v>226</v>
      </c>
      <c r="H32" s="4">
        <f t="shared" si="10"/>
        <v>75.333333333333329</v>
      </c>
      <c r="I32" s="4">
        <f t="shared" si="11"/>
        <v>18.833333333333332</v>
      </c>
      <c r="J32" s="5"/>
      <c r="K32" s="4"/>
      <c r="L32" s="4">
        <f t="shared" si="12"/>
        <v>0</v>
      </c>
      <c r="M32" s="4">
        <f t="shared" si="13"/>
        <v>0</v>
      </c>
      <c r="N32" s="4">
        <f t="shared" si="14"/>
        <v>18.833333333333332</v>
      </c>
    </row>
    <row r="33" spans="1:15" x14ac:dyDescent="0.3">
      <c r="A33" s="2">
        <v>5</v>
      </c>
      <c r="B33" s="8" t="s">
        <v>64</v>
      </c>
      <c r="C33" s="4">
        <v>82</v>
      </c>
      <c r="D33" s="4">
        <v>82</v>
      </c>
      <c r="E33" s="4">
        <v>83</v>
      </c>
      <c r="F33" s="5"/>
      <c r="G33" s="6">
        <f t="shared" si="9"/>
        <v>247</v>
      </c>
      <c r="H33" s="4">
        <f t="shared" si="10"/>
        <v>82.333333333333329</v>
      </c>
      <c r="I33" s="4">
        <f t="shared" si="11"/>
        <v>20.583333333333332</v>
      </c>
      <c r="J33" s="5"/>
      <c r="K33" s="4"/>
      <c r="L33" s="4">
        <f t="shared" si="12"/>
        <v>0</v>
      </c>
      <c r="M33" s="4">
        <f t="shared" si="13"/>
        <v>0</v>
      </c>
      <c r="N33" s="4">
        <f t="shared" si="14"/>
        <v>20.583333333333332</v>
      </c>
    </row>
    <row r="34" spans="1:15" x14ac:dyDescent="0.3">
      <c r="A34" s="2">
        <v>6</v>
      </c>
      <c r="B34" s="8" t="s">
        <v>66</v>
      </c>
      <c r="C34" s="4">
        <v>86</v>
      </c>
      <c r="D34" s="4">
        <v>86</v>
      </c>
      <c r="E34" s="4">
        <v>87</v>
      </c>
      <c r="F34" s="5"/>
      <c r="G34" s="6">
        <f t="shared" si="9"/>
        <v>259</v>
      </c>
      <c r="H34" s="4">
        <f t="shared" si="10"/>
        <v>86.333333333333329</v>
      </c>
      <c r="I34" s="4">
        <f t="shared" si="11"/>
        <v>21.583333333333332</v>
      </c>
      <c r="J34" s="5"/>
      <c r="K34" s="4"/>
      <c r="L34" s="4">
        <f t="shared" si="12"/>
        <v>0</v>
      </c>
      <c r="M34" s="4">
        <f t="shared" si="13"/>
        <v>0</v>
      </c>
      <c r="N34" s="4">
        <f t="shared" si="14"/>
        <v>21.583333333333332</v>
      </c>
    </row>
    <row r="35" spans="1:15" x14ac:dyDescent="0.3">
      <c r="A35" s="2">
        <v>7</v>
      </c>
      <c r="B35" s="8" t="s">
        <v>76</v>
      </c>
      <c r="C35" s="4">
        <v>77</v>
      </c>
      <c r="D35" s="4">
        <v>71</v>
      </c>
      <c r="E35" s="4">
        <v>75</v>
      </c>
      <c r="F35" s="5"/>
      <c r="G35" s="6">
        <f t="shared" si="9"/>
        <v>223</v>
      </c>
      <c r="H35" s="4">
        <f t="shared" si="10"/>
        <v>74.333333333333329</v>
      </c>
      <c r="I35" s="4">
        <f t="shared" si="11"/>
        <v>18.583333333333332</v>
      </c>
      <c r="J35" s="5"/>
      <c r="K35" s="4"/>
      <c r="L35" s="4">
        <f t="shared" si="12"/>
        <v>0</v>
      </c>
      <c r="M35" s="4">
        <f t="shared" si="13"/>
        <v>0</v>
      </c>
      <c r="N35" s="4">
        <f t="shared" si="14"/>
        <v>18.583333333333332</v>
      </c>
    </row>
    <row r="36" spans="1:15" x14ac:dyDescent="0.3">
      <c r="A36" s="2">
        <v>8</v>
      </c>
      <c r="B36" s="8" t="s">
        <v>67</v>
      </c>
      <c r="C36" s="4">
        <v>81</v>
      </c>
      <c r="D36" s="4">
        <v>62</v>
      </c>
      <c r="E36" s="4">
        <v>69</v>
      </c>
      <c r="F36" s="5"/>
      <c r="G36" s="6">
        <f t="shared" si="9"/>
        <v>212</v>
      </c>
      <c r="H36" s="4">
        <f t="shared" si="10"/>
        <v>70.666666666666671</v>
      </c>
      <c r="I36" s="4">
        <f t="shared" si="11"/>
        <v>17.666666666666668</v>
      </c>
      <c r="J36" s="5"/>
      <c r="K36" s="4"/>
      <c r="L36" s="4">
        <f t="shared" si="12"/>
        <v>0</v>
      </c>
      <c r="M36" s="4">
        <f t="shared" si="13"/>
        <v>0</v>
      </c>
      <c r="N36" s="4">
        <f t="shared" si="14"/>
        <v>17.666666666666668</v>
      </c>
    </row>
    <row r="37" spans="1:15" x14ac:dyDescent="0.3">
      <c r="A37" s="2">
        <v>9</v>
      </c>
      <c r="B37" s="8" t="s">
        <v>79</v>
      </c>
      <c r="C37" s="4">
        <v>69</v>
      </c>
      <c r="D37" s="4">
        <v>58</v>
      </c>
      <c r="E37" s="4">
        <v>59</v>
      </c>
      <c r="F37" s="5"/>
      <c r="G37" s="6">
        <f t="shared" si="9"/>
        <v>186</v>
      </c>
      <c r="H37" s="4">
        <f t="shared" si="10"/>
        <v>62</v>
      </c>
      <c r="I37" s="4">
        <f t="shared" si="11"/>
        <v>15.5</v>
      </c>
      <c r="J37" s="5"/>
      <c r="K37" s="4"/>
      <c r="L37" s="4">
        <f t="shared" si="12"/>
        <v>0</v>
      </c>
      <c r="M37" s="4">
        <f t="shared" si="13"/>
        <v>0</v>
      </c>
      <c r="N37" s="4">
        <f t="shared" si="14"/>
        <v>15.5</v>
      </c>
    </row>
    <row r="38" spans="1:15" x14ac:dyDescent="0.3">
      <c r="A38" s="2">
        <v>10</v>
      </c>
      <c r="B38" s="8" t="s">
        <v>72</v>
      </c>
      <c r="C38" s="4">
        <v>74</v>
      </c>
      <c r="D38" s="4">
        <v>75</v>
      </c>
      <c r="E38" s="4">
        <v>74</v>
      </c>
      <c r="F38" s="5"/>
      <c r="G38" s="6">
        <f t="shared" si="9"/>
        <v>223</v>
      </c>
      <c r="H38" s="4">
        <f t="shared" si="10"/>
        <v>74.333333333333329</v>
      </c>
      <c r="I38" s="4">
        <f t="shared" si="11"/>
        <v>18.583333333333332</v>
      </c>
      <c r="J38" s="5"/>
      <c r="K38" s="4"/>
      <c r="L38" s="4">
        <f t="shared" si="12"/>
        <v>0</v>
      </c>
      <c r="M38" s="4">
        <f t="shared" si="13"/>
        <v>0</v>
      </c>
      <c r="N38" s="4">
        <f t="shared" si="14"/>
        <v>18.583333333333332</v>
      </c>
    </row>
    <row r="39" spans="1:15" x14ac:dyDescent="0.3">
      <c r="A39" s="2">
        <v>11</v>
      </c>
      <c r="B39" s="8" t="s">
        <v>71</v>
      </c>
      <c r="C39" s="4">
        <v>69</v>
      </c>
      <c r="D39" s="4">
        <v>80</v>
      </c>
      <c r="E39" s="4">
        <v>82</v>
      </c>
      <c r="F39" s="5"/>
      <c r="G39" s="6">
        <f t="shared" si="9"/>
        <v>231</v>
      </c>
      <c r="H39" s="4">
        <f t="shared" si="10"/>
        <v>77</v>
      </c>
      <c r="I39" s="4">
        <f t="shared" si="11"/>
        <v>19.25</v>
      </c>
      <c r="J39" s="5"/>
      <c r="K39" s="4"/>
      <c r="L39" s="4">
        <f t="shared" si="12"/>
        <v>0</v>
      </c>
      <c r="M39" s="4">
        <f t="shared" si="13"/>
        <v>0</v>
      </c>
      <c r="N39" s="4">
        <f t="shared" si="14"/>
        <v>19.25</v>
      </c>
    </row>
    <row r="40" spans="1:15" x14ac:dyDescent="0.3">
      <c r="A40" s="2">
        <v>12</v>
      </c>
      <c r="B40" s="8" t="s">
        <v>70</v>
      </c>
      <c r="C40" s="4">
        <v>77</v>
      </c>
      <c r="D40" s="4">
        <v>66</v>
      </c>
      <c r="E40" s="4">
        <v>70</v>
      </c>
      <c r="F40" s="5"/>
      <c r="G40" s="6">
        <f t="shared" si="9"/>
        <v>213</v>
      </c>
      <c r="H40" s="4">
        <f t="shared" si="10"/>
        <v>71</v>
      </c>
      <c r="I40" s="4">
        <f t="shared" si="11"/>
        <v>17.75</v>
      </c>
      <c r="J40" s="5"/>
      <c r="K40" s="4"/>
      <c r="L40" s="4">
        <f t="shared" si="12"/>
        <v>0</v>
      </c>
      <c r="M40" s="4">
        <f t="shared" si="13"/>
        <v>0</v>
      </c>
      <c r="N40" s="4">
        <f t="shared" si="14"/>
        <v>17.75</v>
      </c>
    </row>
    <row r="41" spans="1:15" x14ac:dyDescent="0.3">
      <c r="A41" s="2">
        <v>13</v>
      </c>
      <c r="B41" s="8" t="s">
        <v>77</v>
      </c>
      <c r="C41" s="4">
        <v>81</v>
      </c>
      <c r="D41" s="4">
        <v>81</v>
      </c>
      <c r="E41" s="4">
        <v>80</v>
      </c>
      <c r="F41" s="5"/>
      <c r="G41" s="6">
        <f t="shared" si="9"/>
        <v>242</v>
      </c>
      <c r="H41" s="4">
        <f t="shared" si="10"/>
        <v>80.666666666666671</v>
      </c>
      <c r="I41" s="4">
        <f t="shared" si="11"/>
        <v>20.166666666666668</v>
      </c>
      <c r="J41" s="5"/>
      <c r="K41" s="4"/>
      <c r="L41" s="4">
        <f t="shared" si="12"/>
        <v>0</v>
      </c>
      <c r="M41" s="4">
        <f t="shared" si="13"/>
        <v>0</v>
      </c>
      <c r="N41" s="4">
        <f t="shared" si="14"/>
        <v>20.166666666666668</v>
      </c>
    </row>
    <row r="42" spans="1:15" x14ac:dyDescent="0.3">
      <c r="A42" s="2">
        <v>14</v>
      </c>
      <c r="B42" s="8" t="s">
        <v>69</v>
      </c>
      <c r="C42" s="4">
        <v>69</v>
      </c>
      <c r="D42" s="4">
        <v>77</v>
      </c>
      <c r="E42" s="4">
        <v>69</v>
      </c>
      <c r="F42" s="5"/>
      <c r="G42" s="6">
        <f t="shared" si="9"/>
        <v>215</v>
      </c>
      <c r="H42" s="4">
        <f t="shared" si="10"/>
        <v>71.666666666666671</v>
      </c>
      <c r="I42" s="4">
        <f t="shared" si="11"/>
        <v>17.916666666666668</v>
      </c>
      <c r="J42" s="5"/>
      <c r="K42" s="4"/>
      <c r="L42" s="4">
        <f t="shared" si="12"/>
        <v>0</v>
      </c>
      <c r="M42" s="4">
        <f t="shared" si="13"/>
        <v>0</v>
      </c>
      <c r="N42" s="4">
        <f t="shared" si="14"/>
        <v>17.916666666666668</v>
      </c>
    </row>
    <row r="43" spans="1:15" x14ac:dyDescent="0.3">
      <c r="A43" s="2">
        <v>15</v>
      </c>
      <c r="B43" s="8" t="s">
        <v>65</v>
      </c>
      <c r="C43" s="4">
        <v>90</v>
      </c>
      <c r="D43" s="4">
        <v>92</v>
      </c>
      <c r="E43" s="4">
        <v>93</v>
      </c>
      <c r="F43" s="5"/>
      <c r="G43" s="6">
        <f t="shared" si="9"/>
        <v>275</v>
      </c>
      <c r="H43" s="4">
        <f t="shared" si="10"/>
        <v>91.666666666666671</v>
      </c>
      <c r="I43" s="4">
        <f t="shared" si="11"/>
        <v>22.916666666666668</v>
      </c>
      <c r="J43" s="5"/>
      <c r="K43" s="4"/>
      <c r="L43" s="4">
        <f t="shared" si="12"/>
        <v>0</v>
      </c>
      <c r="M43" s="4">
        <f t="shared" si="13"/>
        <v>0</v>
      </c>
      <c r="N43" s="4">
        <f t="shared" si="14"/>
        <v>22.916666666666668</v>
      </c>
    </row>
    <row r="44" spans="1:15" x14ac:dyDescent="0.3">
      <c r="A44" s="2">
        <v>16</v>
      </c>
      <c r="B44" s="8" t="s">
        <v>78</v>
      </c>
      <c r="C44" s="4">
        <v>77</v>
      </c>
      <c r="D44" s="4">
        <v>75</v>
      </c>
      <c r="E44" s="4">
        <v>75</v>
      </c>
      <c r="F44" s="5"/>
      <c r="G44" s="6">
        <f t="shared" si="9"/>
        <v>227</v>
      </c>
      <c r="H44" s="4">
        <f t="shared" si="10"/>
        <v>75.666666666666671</v>
      </c>
      <c r="I44" s="4">
        <f t="shared" si="11"/>
        <v>18.916666666666668</v>
      </c>
      <c r="J44" s="5"/>
      <c r="K44" s="4"/>
      <c r="L44" s="4">
        <f t="shared" si="12"/>
        <v>0</v>
      </c>
      <c r="M44" s="4">
        <f t="shared" si="13"/>
        <v>0</v>
      </c>
      <c r="N44" s="4">
        <f t="shared" si="14"/>
        <v>18.916666666666668</v>
      </c>
    </row>
    <row r="48" spans="1:15" x14ac:dyDescent="0.3">
      <c r="A48" s="63" t="s">
        <v>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x14ac:dyDescent="0.3">
      <c r="A49" s="63" t="s">
        <v>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x14ac:dyDescent="0.3">
      <c r="A50" s="63" t="s">
        <v>63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x14ac:dyDescent="0.3">
      <c r="B51" s="64" t="s">
        <v>20</v>
      </c>
      <c r="C51" s="64"/>
      <c r="D51" s="64"/>
    </row>
    <row r="52" spans="1:15" x14ac:dyDescent="0.3">
      <c r="C52" s="1" t="s">
        <v>4</v>
      </c>
      <c r="D52" s="1" t="s">
        <v>5</v>
      </c>
      <c r="E52" s="1" t="s">
        <v>6</v>
      </c>
      <c r="F52" s="1"/>
      <c r="G52" s="1" t="s">
        <v>7</v>
      </c>
      <c r="H52" s="1" t="s">
        <v>8</v>
      </c>
      <c r="I52" s="3">
        <v>0.25</v>
      </c>
      <c r="J52" s="1"/>
      <c r="K52" s="1" t="s">
        <v>9</v>
      </c>
      <c r="L52" s="1"/>
      <c r="M52" s="3">
        <v>0.75</v>
      </c>
      <c r="N52" s="1" t="s">
        <v>10</v>
      </c>
    </row>
    <row r="53" spans="1:15" x14ac:dyDescent="0.3">
      <c r="A53" s="2">
        <v>1</v>
      </c>
      <c r="B53" s="8" t="s">
        <v>73</v>
      </c>
      <c r="C53" s="4">
        <v>42</v>
      </c>
      <c r="D53" s="4">
        <v>38</v>
      </c>
      <c r="E53" s="4">
        <v>35</v>
      </c>
      <c r="F53" s="5"/>
      <c r="G53" s="6">
        <f>SUM(C53:E53)</f>
        <v>115</v>
      </c>
      <c r="H53" s="4">
        <f>AVERAGE(C53:E53)</f>
        <v>38.333333333333336</v>
      </c>
      <c r="I53" s="4">
        <f>G53/12</f>
        <v>9.5833333333333339</v>
      </c>
      <c r="J53" s="5"/>
      <c r="K53" s="4">
        <v>38</v>
      </c>
      <c r="L53" s="4">
        <f>K53*3</f>
        <v>114</v>
      </c>
      <c r="M53" s="4">
        <f>L53/4</f>
        <v>28.5</v>
      </c>
      <c r="N53" s="4">
        <f>M53+I53</f>
        <v>38.083333333333336</v>
      </c>
    </row>
    <row r="54" spans="1:15" x14ac:dyDescent="0.3">
      <c r="A54" s="2">
        <v>2</v>
      </c>
      <c r="B54" s="8" t="s">
        <v>74</v>
      </c>
      <c r="C54" s="4">
        <v>38</v>
      </c>
      <c r="D54" s="4">
        <v>35</v>
      </c>
      <c r="E54" s="4">
        <v>39</v>
      </c>
      <c r="F54" s="5"/>
      <c r="G54" s="6">
        <f t="shared" ref="G54:G68" si="15">SUM(C54:E54)</f>
        <v>112</v>
      </c>
      <c r="H54" s="4">
        <f t="shared" ref="H54:H68" si="16">AVERAGE(C54:E54)</f>
        <v>37.333333333333336</v>
      </c>
      <c r="I54" s="4">
        <f t="shared" ref="I54:I68" si="17">G54/12</f>
        <v>9.3333333333333339</v>
      </c>
      <c r="J54" s="5"/>
      <c r="K54" s="4">
        <v>33</v>
      </c>
      <c r="L54" s="4">
        <f t="shared" ref="L54:L68" si="18">K54*3</f>
        <v>99</v>
      </c>
      <c r="M54" s="4">
        <f t="shared" ref="M54:M68" si="19">L54/4</f>
        <v>24.75</v>
      </c>
      <c r="N54" s="4">
        <f t="shared" ref="N54:N68" si="20">M54+I54</f>
        <v>34.083333333333336</v>
      </c>
    </row>
    <row r="55" spans="1:15" x14ac:dyDescent="0.3">
      <c r="A55" s="2">
        <v>3</v>
      </c>
      <c r="B55" s="8" t="s">
        <v>68</v>
      </c>
      <c r="C55" s="4">
        <v>35</v>
      </c>
      <c r="D55" s="4">
        <v>34</v>
      </c>
      <c r="E55" s="4">
        <v>42</v>
      </c>
      <c r="F55" s="5"/>
      <c r="G55" s="6">
        <f t="shared" si="15"/>
        <v>111</v>
      </c>
      <c r="H55" s="4">
        <f t="shared" si="16"/>
        <v>37</v>
      </c>
      <c r="I55" s="4">
        <f t="shared" si="17"/>
        <v>9.25</v>
      </c>
      <c r="J55" s="5"/>
      <c r="K55" s="4">
        <v>35</v>
      </c>
      <c r="L55" s="4">
        <f t="shared" si="18"/>
        <v>105</v>
      </c>
      <c r="M55" s="4">
        <f t="shared" si="19"/>
        <v>26.25</v>
      </c>
      <c r="N55" s="4">
        <f t="shared" si="20"/>
        <v>35.5</v>
      </c>
    </row>
    <row r="56" spans="1:15" x14ac:dyDescent="0.3">
      <c r="A56" s="2">
        <v>4</v>
      </c>
      <c r="B56" s="8" t="s">
        <v>75</v>
      </c>
      <c r="C56" s="4">
        <v>40</v>
      </c>
      <c r="D56" s="4">
        <v>45</v>
      </c>
      <c r="E56" s="4">
        <v>47</v>
      </c>
      <c r="F56" s="5"/>
      <c r="G56" s="6">
        <f t="shared" si="15"/>
        <v>132</v>
      </c>
      <c r="H56" s="4">
        <f t="shared" si="16"/>
        <v>44</v>
      </c>
      <c r="I56" s="4">
        <f t="shared" si="17"/>
        <v>11</v>
      </c>
      <c r="J56" s="5"/>
      <c r="K56" s="4">
        <v>41</v>
      </c>
      <c r="L56" s="4">
        <f t="shared" si="18"/>
        <v>123</v>
      </c>
      <c r="M56" s="4">
        <f t="shared" si="19"/>
        <v>30.75</v>
      </c>
      <c r="N56" s="4">
        <f t="shared" si="20"/>
        <v>41.75</v>
      </c>
    </row>
    <row r="57" spans="1:15" x14ac:dyDescent="0.3">
      <c r="A57" s="2">
        <v>5</v>
      </c>
      <c r="B57" s="8" t="s">
        <v>64</v>
      </c>
      <c r="C57" s="4">
        <v>71</v>
      </c>
      <c r="D57" s="4">
        <v>66</v>
      </c>
      <c r="E57" s="4">
        <v>69</v>
      </c>
      <c r="F57" s="5"/>
      <c r="G57" s="6">
        <f t="shared" si="15"/>
        <v>206</v>
      </c>
      <c r="H57" s="4">
        <f t="shared" si="16"/>
        <v>68.666666666666671</v>
      </c>
      <c r="I57" s="4">
        <f t="shared" si="17"/>
        <v>17.166666666666668</v>
      </c>
      <c r="J57" s="5"/>
      <c r="K57" s="4">
        <v>65</v>
      </c>
      <c r="L57" s="4">
        <f t="shared" si="18"/>
        <v>195</v>
      </c>
      <c r="M57" s="4">
        <f t="shared" si="19"/>
        <v>48.75</v>
      </c>
      <c r="N57" s="4">
        <f t="shared" si="20"/>
        <v>65.916666666666671</v>
      </c>
    </row>
    <row r="58" spans="1:15" x14ac:dyDescent="0.3">
      <c r="A58" s="2">
        <v>6</v>
      </c>
      <c r="B58" s="8" t="s">
        <v>66</v>
      </c>
      <c r="C58" s="4">
        <v>56</v>
      </c>
      <c r="D58" s="4">
        <v>52</v>
      </c>
      <c r="E58" s="4">
        <v>50</v>
      </c>
      <c r="F58" s="5"/>
      <c r="G58" s="6">
        <f t="shared" si="15"/>
        <v>158</v>
      </c>
      <c r="H58" s="4">
        <f t="shared" si="16"/>
        <v>52.666666666666664</v>
      </c>
      <c r="I58" s="4">
        <f t="shared" si="17"/>
        <v>13.166666666666666</v>
      </c>
      <c r="J58" s="5"/>
      <c r="K58" s="4">
        <v>55</v>
      </c>
      <c r="L58" s="4">
        <f t="shared" si="18"/>
        <v>165</v>
      </c>
      <c r="M58" s="4">
        <f t="shared" si="19"/>
        <v>41.25</v>
      </c>
      <c r="N58" s="4">
        <f t="shared" si="20"/>
        <v>54.416666666666664</v>
      </c>
    </row>
    <row r="59" spans="1:15" x14ac:dyDescent="0.3">
      <c r="A59" s="2">
        <v>7</v>
      </c>
      <c r="B59" s="8" t="s">
        <v>76</v>
      </c>
      <c r="C59" s="4">
        <v>28</v>
      </c>
      <c r="D59" s="4">
        <v>40</v>
      </c>
      <c r="E59" s="4">
        <v>33</v>
      </c>
      <c r="F59" s="5"/>
      <c r="G59" s="6">
        <f t="shared" si="15"/>
        <v>101</v>
      </c>
      <c r="H59" s="4">
        <f t="shared" si="16"/>
        <v>33.666666666666664</v>
      </c>
      <c r="I59" s="4">
        <f t="shared" si="17"/>
        <v>8.4166666666666661</v>
      </c>
      <c r="J59" s="5"/>
      <c r="K59" s="4">
        <v>38</v>
      </c>
      <c r="L59" s="4">
        <f t="shared" si="18"/>
        <v>114</v>
      </c>
      <c r="M59" s="4">
        <f t="shared" si="19"/>
        <v>28.5</v>
      </c>
      <c r="N59" s="4">
        <f t="shared" si="20"/>
        <v>36.916666666666664</v>
      </c>
    </row>
    <row r="60" spans="1:15" x14ac:dyDescent="0.3">
      <c r="A60" s="2">
        <v>8</v>
      </c>
      <c r="B60" s="8" t="s">
        <v>67</v>
      </c>
      <c r="C60" s="4">
        <v>28</v>
      </c>
      <c r="D60" s="4">
        <v>29</v>
      </c>
      <c r="E60" s="4">
        <v>32</v>
      </c>
      <c r="F60" s="5"/>
      <c r="G60" s="6">
        <f t="shared" si="15"/>
        <v>89</v>
      </c>
      <c r="H60" s="4">
        <f t="shared" si="16"/>
        <v>29.666666666666668</v>
      </c>
      <c r="I60" s="4">
        <f t="shared" si="17"/>
        <v>7.416666666666667</v>
      </c>
      <c r="J60" s="5"/>
      <c r="K60" s="4">
        <v>35</v>
      </c>
      <c r="L60" s="4">
        <f t="shared" si="18"/>
        <v>105</v>
      </c>
      <c r="M60" s="4">
        <f t="shared" si="19"/>
        <v>26.25</v>
      </c>
      <c r="N60" s="4">
        <f t="shared" si="20"/>
        <v>33.666666666666664</v>
      </c>
    </row>
    <row r="61" spans="1:15" x14ac:dyDescent="0.3">
      <c r="A61" s="2">
        <v>9</v>
      </c>
      <c r="B61" s="8" t="s">
        <v>79</v>
      </c>
      <c r="C61" s="4">
        <v>44</v>
      </c>
      <c r="D61" s="4">
        <v>41</v>
      </c>
      <c r="E61" s="4">
        <v>44</v>
      </c>
      <c r="F61" s="5"/>
      <c r="G61" s="6">
        <f t="shared" si="15"/>
        <v>129</v>
      </c>
      <c r="H61" s="4">
        <f t="shared" si="16"/>
        <v>43</v>
      </c>
      <c r="I61" s="4">
        <f t="shared" si="17"/>
        <v>10.75</v>
      </c>
      <c r="J61" s="5"/>
      <c r="K61" s="4">
        <v>40</v>
      </c>
      <c r="L61" s="4">
        <f t="shared" si="18"/>
        <v>120</v>
      </c>
      <c r="M61" s="4">
        <f t="shared" si="19"/>
        <v>30</v>
      </c>
      <c r="N61" s="4">
        <f t="shared" si="20"/>
        <v>40.75</v>
      </c>
    </row>
    <row r="62" spans="1:15" x14ac:dyDescent="0.3">
      <c r="A62" s="2">
        <v>10</v>
      </c>
      <c r="B62" s="8" t="s">
        <v>72</v>
      </c>
      <c r="C62" s="4">
        <v>62</v>
      </c>
      <c r="D62" s="4">
        <v>65</v>
      </c>
      <c r="E62" s="4">
        <v>65</v>
      </c>
      <c r="F62" s="5"/>
      <c r="G62" s="6">
        <f t="shared" si="15"/>
        <v>192</v>
      </c>
      <c r="H62" s="4">
        <f t="shared" si="16"/>
        <v>64</v>
      </c>
      <c r="I62" s="4">
        <f t="shared" si="17"/>
        <v>16</v>
      </c>
      <c r="J62" s="5"/>
      <c r="K62" s="4">
        <v>59</v>
      </c>
      <c r="L62" s="4">
        <f t="shared" si="18"/>
        <v>177</v>
      </c>
      <c r="M62" s="4">
        <f t="shared" si="19"/>
        <v>44.25</v>
      </c>
      <c r="N62" s="4">
        <f t="shared" si="20"/>
        <v>60.25</v>
      </c>
    </row>
    <row r="63" spans="1:15" x14ac:dyDescent="0.3">
      <c r="A63" s="2">
        <v>11</v>
      </c>
      <c r="B63" s="8" t="s">
        <v>71</v>
      </c>
      <c r="C63" s="4">
        <v>55</v>
      </c>
      <c r="D63" s="4">
        <v>50</v>
      </c>
      <c r="E63" s="4">
        <v>58</v>
      </c>
      <c r="F63" s="5"/>
      <c r="G63" s="6">
        <f t="shared" si="15"/>
        <v>163</v>
      </c>
      <c r="H63" s="4">
        <f t="shared" si="16"/>
        <v>54.333333333333336</v>
      </c>
      <c r="I63" s="4">
        <f t="shared" si="17"/>
        <v>13.583333333333334</v>
      </c>
      <c r="J63" s="5"/>
      <c r="K63" s="4">
        <v>55</v>
      </c>
      <c r="L63" s="4">
        <f t="shared" si="18"/>
        <v>165</v>
      </c>
      <c r="M63" s="4">
        <f t="shared" si="19"/>
        <v>41.25</v>
      </c>
      <c r="N63" s="4">
        <f t="shared" si="20"/>
        <v>54.833333333333336</v>
      </c>
    </row>
    <row r="64" spans="1:15" x14ac:dyDescent="0.3">
      <c r="A64" s="2">
        <v>12</v>
      </c>
      <c r="B64" s="8" t="s">
        <v>70</v>
      </c>
      <c r="C64" s="4">
        <v>38</v>
      </c>
      <c r="D64" s="4">
        <v>38</v>
      </c>
      <c r="E64" s="4">
        <v>39</v>
      </c>
      <c r="F64" s="5"/>
      <c r="G64" s="6">
        <f t="shared" si="15"/>
        <v>115</v>
      </c>
      <c r="H64" s="4">
        <f t="shared" si="16"/>
        <v>38.333333333333336</v>
      </c>
      <c r="I64" s="4">
        <f t="shared" si="17"/>
        <v>9.5833333333333339</v>
      </c>
      <c r="J64" s="5"/>
      <c r="K64" s="4">
        <v>48</v>
      </c>
      <c r="L64" s="4">
        <f t="shared" si="18"/>
        <v>144</v>
      </c>
      <c r="M64" s="4">
        <f t="shared" si="19"/>
        <v>36</v>
      </c>
      <c r="N64" s="4">
        <f t="shared" si="20"/>
        <v>45.583333333333336</v>
      </c>
    </row>
    <row r="65" spans="1:15" x14ac:dyDescent="0.3">
      <c r="A65" s="2">
        <v>13</v>
      </c>
      <c r="B65" s="8" t="s">
        <v>77</v>
      </c>
      <c r="C65" s="4">
        <v>45</v>
      </c>
      <c r="D65" s="4">
        <v>45</v>
      </c>
      <c r="E65" s="4">
        <v>47</v>
      </c>
      <c r="F65" s="5"/>
      <c r="G65" s="6">
        <f t="shared" si="15"/>
        <v>137</v>
      </c>
      <c r="H65" s="4">
        <f t="shared" si="16"/>
        <v>45.666666666666664</v>
      </c>
      <c r="I65" s="4">
        <f t="shared" si="17"/>
        <v>11.416666666666666</v>
      </c>
      <c r="J65" s="5"/>
      <c r="K65" s="4">
        <v>44</v>
      </c>
      <c r="L65" s="4">
        <f t="shared" si="18"/>
        <v>132</v>
      </c>
      <c r="M65" s="4">
        <f t="shared" si="19"/>
        <v>33</v>
      </c>
      <c r="N65" s="4">
        <f t="shared" si="20"/>
        <v>44.416666666666664</v>
      </c>
    </row>
    <row r="66" spans="1:15" x14ac:dyDescent="0.3">
      <c r="A66" s="2">
        <v>14</v>
      </c>
      <c r="B66" s="8" t="s">
        <v>69</v>
      </c>
      <c r="C66" s="4">
        <v>50</v>
      </c>
      <c r="D66" s="4">
        <v>44</v>
      </c>
      <c r="E66" s="4">
        <v>49</v>
      </c>
      <c r="F66" s="5"/>
      <c r="G66" s="6">
        <f t="shared" si="15"/>
        <v>143</v>
      </c>
      <c r="H66" s="4">
        <f t="shared" si="16"/>
        <v>47.666666666666664</v>
      </c>
      <c r="I66" s="4">
        <f t="shared" si="17"/>
        <v>11.916666666666666</v>
      </c>
      <c r="J66" s="5"/>
      <c r="K66" s="4">
        <v>62</v>
      </c>
      <c r="L66" s="4">
        <f t="shared" si="18"/>
        <v>186</v>
      </c>
      <c r="M66" s="4">
        <f t="shared" si="19"/>
        <v>46.5</v>
      </c>
      <c r="N66" s="4">
        <f t="shared" si="20"/>
        <v>58.416666666666664</v>
      </c>
    </row>
    <row r="67" spans="1:15" x14ac:dyDescent="0.3">
      <c r="A67" s="2">
        <v>15</v>
      </c>
      <c r="B67" s="8" t="s">
        <v>65</v>
      </c>
      <c r="C67" s="4">
        <v>85</v>
      </c>
      <c r="D67" s="4">
        <v>85</v>
      </c>
      <c r="E67" s="4">
        <v>84</v>
      </c>
      <c r="F67" s="5"/>
      <c r="G67" s="6">
        <f t="shared" si="15"/>
        <v>254</v>
      </c>
      <c r="H67" s="4">
        <f t="shared" si="16"/>
        <v>84.666666666666671</v>
      </c>
      <c r="I67" s="4">
        <f t="shared" si="17"/>
        <v>21.166666666666668</v>
      </c>
      <c r="J67" s="5"/>
      <c r="K67" s="4">
        <v>86</v>
      </c>
      <c r="L67" s="4">
        <f t="shared" si="18"/>
        <v>258</v>
      </c>
      <c r="M67" s="4">
        <f t="shared" si="19"/>
        <v>64.5</v>
      </c>
      <c r="N67" s="4">
        <f t="shared" si="20"/>
        <v>85.666666666666671</v>
      </c>
    </row>
    <row r="68" spans="1:15" x14ac:dyDescent="0.3">
      <c r="A68" s="2">
        <v>16</v>
      </c>
      <c r="B68" s="8" t="s">
        <v>78</v>
      </c>
      <c r="C68" s="4">
        <v>41</v>
      </c>
      <c r="D68" s="4">
        <v>41</v>
      </c>
      <c r="E68" s="4">
        <v>44</v>
      </c>
      <c r="F68" s="5"/>
      <c r="G68" s="6">
        <f t="shared" si="15"/>
        <v>126</v>
      </c>
      <c r="H68" s="4">
        <f t="shared" si="16"/>
        <v>42</v>
      </c>
      <c r="I68" s="4">
        <f t="shared" si="17"/>
        <v>10.5</v>
      </c>
      <c r="J68" s="5"/>
      <c r="K68" s="4">
        <v>45</v>
      </c>
      <c r="L68" s="4">
        <f t="shared" si="18"/>
        <v>135</v>
      </c>
      <c r="M68" s="4">
        <f t="shared" si="19"/>
        <v>33.75</v>
      </c>
      <c r="N68" s="4">
        <f t="shared" si="20"/>
        <v>44.25</v>
      </c>
    </row>
    <row r="72" spans="1:15" x14ac:dyDescent="0.3">
      <c r="A72" s="63" t="s">
        <v>1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15" x14ac:dyDescent="0.3">
      <c r="A73" s="63" t="s">
        <v>63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1:15" x14ac:dyDescent="0.3">
      <c r="B74" s="64" t="s">
        <v>161</v>
      </c>
      <c r="C74" s="64"/>
      <c r="D74" s="64"/>
    </row>
    <row r="75" spans="1:15" x14ac:dyDescent="0.3">
      <c r="C75" s="1" t="s">
        <v>4</v>
      </c>
      <c r="D75" s="1" t="s">
        <v>5</v>
      </c>
      <c r="E75" s="1" t="s">
        <v>6</v>
      </c>
      <c r="F75" s="1"/>
      <c r="G75" s="1" t="s">
        <v>7</v>
      </c>
      <c r="H75" s="1" t="s">
        <v>8</v>
      </c>
      <c r="I75" s="3">
        <v>0.25</v>
      </c>
      <c r="J75" s="1"/>
      <c r="K75" s="1" t="s">
        <v>9</v>
      </c>
      <c r="L75" s="1"/>
      <c r="M75" s="3">
        <v>0.75</v>
      </c>
      <c r="N75" s="1" t="s">
        <v>10</v>
      </c>
    </row>
    <row r="76" spans="1:15" x14ac:dyDescent="0.3">
      <c r="A76" s="2">
        <v>1</v>
      </c>
      <c r="B76" s="8" t="s">
        <v>73</v>
      </c>
      <c r="C76" s="4">
        <v>28</v>
      </c>
      <c r="D76" s="4">
        <v>38</v>
      </c>
      <c r="E76" s="4">
        <v>32</v>
      </c>
      <c r="F76" s="5"/>
      <c r="G76" s="6">
        <f>SUM(C76:E76)</f>
        <v>98</v>
      </c>
      <c r="H76" s="4">
        <f>AVERAGE(C76:E76)</f>
        <v>32.666666666666664</v>
      </c>
      <c r="I76" s="4">
        <f>G76/12</f>
        <v>8.1666666666666661</v>
      </c>
      <c r="J76" s="5"/>
      <c r="K76" s="4">
        <v>37</v>
      </c>
      <c r="L76" s="4">
        <f>K76*3</f>
        <v>111</v>
      </c>
      <c r="M76" s="4">
        <f>L76/4</f>
        <v>27.75</v>
      </c>
      <c r="N76" s="4">
        <f>M76+I76</f>
        <v>35.916666666666664</v>
      </c>
    </row>
    <row r="77" spans="1:15" x14ac:dyDescent="0.3">
      <c r="A77" s="2">
        <v>2</v>
      </c>
      <c r="B77" s="8" t="s">
        <v>74</v>
      </c>
      <c r="C77" s="4">
        <v>45</v>
      </c>
      <c r="D77" s="4">
        <v>38</v>
      </c>
      <c r="E77" s="4">
        <v>38</v>
      </c>
      <c r="F77" s="5"/>
      <c r="G77" s="6">
        <f t="shared" ref="G77:G91" si="21">SUM(C77:E77)</f>
        <v>121</v>
      </c>
      <c r="H77" s="4">
        <f t="shared" ref="H77:H91" si="22">AVERAGE(C77:E77)</f>
        <v>40.333333333333336</v>
      </c>
      <c r="I77" s="4">
        <f t="shared" ref="I77:I91" si="23">G77/12</f>
        <v>10.083333333333334</v>
      </c>
      <c r="J77" s="5"/>
      <c r="K77" s="4">
        <v>40</v>
      </c>
      <c r="L77" s="4">
        <f t="shared" ref="L77:L91" si="24">K77*3</f>
        <v>120</v>
      </c>
      <c r="M77" s="4">
        <f t="shared" ref="M77:M91" si="25">L77/4</f>
        <v>30</v>
      </c>
      <c r="N77" s="4">
        <f t="shared" ref="N77:N91" si="26">M77+I77</f>
        <v>40.083333333333336</v>
      </c>
    </row>
    <row r="78" spans="1:15" x14ac:dyDescent="0.3">
      <c r="A78" s="2">
        <v>3</v>
      </c>
      <c r="B78" s="8" t="s">
        <v>68</v>
      </c>
      <c r="C78" s="4">
        <v>62</v>
      </c>
      <c r="D78" s="4">
        <v>55</v>
      </c>
      <c r="E78" s="4">
        <v>54</v>
      </c>
      <c r="F78" s="5"/>
      <c r="G78" s="6">
        <f t="shared" si="21"/>
        <v>171</v>
      </c>
      <c r="H78" s="4">
        <f t="shared" si="22"/>
        <v>57</v>
      </c>
      <c r="I78" s="4">
        <f t="shared" si="23"/>
        <v>14.25</v>
      </c>
      <c r="J78" s="5"/>
      <c r="K78" s="4">
        <v>55</v>
      </c>
      <c r="L78" s="4">
        <f t="shared" si="24"/>
        <v>165</v>
      </c>
      <c r="M78" s="4">
        <f t="shared" si="25"/>
        <v>41.25</v>
      </c>
      <c r="N78" s="4">
        <f t="shared" si="26"/>
        <v>55.5</v>
      </c>
    </row>
    <row r="79" spans="1:15" x14ac:dyDescent="0.3">
      <c r="A79" s="2">
        <v>4</v>
      </c>
      <c r="B79" s="8" t="s">
        <v>75</v>
      </c>
      <c r="C79" s="4">
        <v>58</v>
      </c>
      <c r="D79" s="4">
        <v>54</v>
      </c>
      <c r="E79" s="4">
        <v>50</v>
      </c>
      <c r="F79" s="5"/>
      <c r="G79" s="6">
        <f t="shared" si="21"/>
        <v>162</v>
      </c>
      <c r="H79" s="4">
        <f t="shared" si="22"/>
        <v>54</v>
      </c>
      <c r="I79" s="4">
        <f t="shared" si="23"/>
        <v>13.5</v>
      </c>
      <c r="J79" s="5"/>
      <c r="K79" s="4">
        <v>58</v>
      </c>
      <c r="L79" s="4">
        <f t="shared" si="24"/>
        <v>174</v>
      </c>
      <c r="M79" s="4">
        <f t="shared" si="25"/>
        <v>43.5</v>
      </c>
      <c r="N79" s="4">
        <f t="shared" si="26"/>
        <v>57</v>
      </c>
    </row>
    <row r="80" spans="1:15" x14ac:dyDescent="0.3">
      <c r="A80" s="2">
        <v>5</v>
      </c>
      <c r="B80" s="8" t="s">
        <v>64</v>
      </c>
      <c r="C80" s="4">
        <v>81</v>
      </c>
      <c r="D80" s="4">
        <v>76</v>
      </c>
      <c r="E80" s="4">
        <v>75</v>
      </c>
      <c r="F80" s="5"/>
      <c r="G80" s="6">
        <f t="shared" si="21"/>
        <v>232</v>
      </c>
      <c r="H80" s="4">
        <f t="shared" si="22"/>
        <v>77.333333333333329</v>
      </c>
      <c r="I80" s="4">
        <f t="shared" si="23"/>
        <v>19.333333333333332</v>
      </c>
      <c r="J80" s="5"/>
      <c r="K80" s="4">
        <v>80</v>
      </c>
      <c r="L80" s="4">
        <f t="shared" si="24"/>
        <v>240</v>
      </c>
      <c r="M80" s="4">
        <f t="shared" si="25"/>
        <v>60</v>
      </c>
      <c r="N80" s="4">
        <f t="shared" si="26"/>
        <v>79.333333333333329</v>
      </c>
    </row>
    <row r="81" spans="1:15" x14ac:dyDescent="0.3">
      <c r="A81" s="2">
        <v>6</v>
      </c>
      <c r="B81" s="8" t="s">
        <v>66</v>
      </c>
      <c r="C81" s="4">
        <v>65</v>
      </c>
      <c r="D81" s="4">
        <v>60</v>
      </c>
      <c r="E81" s="4">
        <v>65</v>
      </c>
      <c r="F81" s="5"/>
      <c r="G81" s="6">
        <f t="shared" si="21"/>
        <v>190</v>
      </c>
      <c r="H81" s="4">
        <f t="shared" si="22"/>
        <v>63.333333333333336</v>
      </c>
      <c r="I81" s="4">
        <f t="shared" si="23"/>
        <v>15.833333333333334</v>
      </c>
      <c r="J81" s="5"/>
      <c r="K81" s="4">
        <v>62</v>
      </c>
      <c r="L81" s="4">
        <f t="shared" si="24"/>
        <v>186</v>
      </c>
      <c r="M81" s="4">
        <f t="shared" si="25"/>
        <v>46.5</v>
      </c>
      <c r="N81" s="4">
        <f t="shared" si="26"/>
        <v>62.333333333333336</v>
      </c>
    </row>
    <row r="82" spans="1:15" x14ac:dyDescent="0.3">
      <c r="A82" s="2">
        <v>7</v>
      </c>
      <c r="B82" s="8" t="s">
        <v>76</v>
      </c>
      <c r="C82" s="4">
        <v>52</v>
      </c>
      <c r="D82" s="4">
        <v>45</v>
      </c>
      <c r="E82" s="4">
        <v>44</v>
      </c>
      <c r="F82" s="5"/>
      <c r="G82" s="6">
        <f t="shared" si="21"/>
        <v>141</v>
      </c>
      <c r="H82" s="4">
        <f t="shared" si="22"/>
        <v>47</v>
      </c>
      <c r="I82" s="4">
        <f t="shared" si="23"/>
        <v>11.75</v>
      </c>
      <c r="J82" s="5"/>
      <c r="K82" s="4">
        <v>45</v>
      </c>
      <c r="L82" s="4">
        <f t="shared" si="24"/>
        <v>135</v>
      </c>
      <c r="M82" s="4">
        <f t="shared" si="25"/>
        <v>33.75</v>
      </c>
      <c r="N82" s="4">
        <f t="shared" si="26"/>
        <v>45.5</v>
      </c>
    </row>
    <row r="83" spans="1:15" x14ac:dyDescent="0.3">
      <c r="A83" s="2">
        <v>8</v>
      </c>
      <c r="B83" s="8" t="s">
        <v>67</v>
      </c>
      <c r="C83" s="4">
        <v>38</v>
      </c>
      <c r="D83" s="4">
        <v>28</v>
      </c>
      <c r="E83" s="4">
        <v>28</v>
      </c>
      <c r="F83" s="5"/>
      <c r="G83" s="6">
        <f t="shared" si="21"/>
        <v>94</v>
      </c>
      <c r="H83" s="4">
        <f t="shared" si="22"/>
        <v>31.333333333333332</v>
      </c>
      <c r="I83" s="4">
        <f t="shared" si="23"/>
        <v>7.833333333333333</v>
      </c>
      <c r="J83" s="5"/>
      <c r="K83" s="4">
        <v>32</v>
      </c>
      <c r="L83" s="4">
        <f t="shared" si="24"/>
        <v>96</v>
      </c>
      <c r="M83" s="4">
        <f t="shared" si="25"/>
        <v>24</v>
      </c>
      <c r="N83" s="4">
        <f t="shared" si="26"/>
        <v>31.833333333333332</v>
      </c>
    </row>
    <row r="84" spans="1:15" x14ac:dyDescent="0.3">
      <c r="A84" s="2">
        <v>9</v>
      </c>
      <c r="B84" s="8" t="s">
        <v>79</v>
      </c>
      <c r="C84" s="4">
        <v>36</v>
      </c>
      <c r="D84" s="4">
        <v>44</v>
      </c>
      <c r="E84" s="4">
        <v>40</v>
      </c>
      <c r="F84" s="5"/>
      <c r="G84" s="6">
        <f t="shared" si="21"/>
        <v>120</v>
      </c>
      <c r="H84" s="4">
        <f t="shared" si="22"/>
        <v>40</v>
      </c>
      <c r="I84" s="4">
        <f t="shared" si="23"/>
        <v>10</v>
      </c>
      <c r="J84" s="5"/>
      <c r="K84" s="4">
        <v>44</v>
      </c>
      <c r="L84" s="4">
        <f t="shared" si="24"/>
        <v>132</v>
      </c>
      <c r="M84" s="4">
        <f t="shared" si="25"/>
        <v>33</v>
      </c>
      <c r="N84" s="4">
        <f t="shared" si="26"/>
        <v>43</v>
      </c>
    </row>
    <row r="85" spans="1:15" x14ac:dyDescent="0.3">
      <c r="A85" s="2">
        <v>10</v>
      </c>
      <c r="B85" s="8" t="s">
        <v>72</v>
      </c>
      <c r="C85" s="4">
        <v>42</v>
      </c>
      <c r="D85" s="4">
        <v>41</v>
      </c>
      <c r="E85" s="4">
        <v>38</v>
      </c>
      <c r="F85" s="5"/>
      <c r="G85" s="6">
        <f t="shared" si="21"/>
        <v>121</v>
      </c>
      <c r="H85" s="4">
        <f t="shared" si="22"/>
        <v>40.333333333333336</v>
      </c>
      <c r="I85" s="4">
        <f t="shared" si="23"/>
        <v>10.083333333333334</v>
      </c>
      <c r="J85" s="5"/>
      <c r="K85" s="4">
        <v>42</v>
      </c>
      <c r="L85" s="4">
        <f t="shared" si="24"/>
        <v>126</v>
      </c>
      <c r="M85" s="4">
        <f t="shared" si="25"/>
        <v>31.5</v>
      </c>
      <c r="N85" s="4">
        <f t="shared" si="26"/>
        <v>41.583333333333336</v>
      </c>
    </row>
    <row r="86" spans="1:15" x14ac:dyDescent="0.3">
      <c r="A86" s="2">
        <v>11</v>
      </c>
      <c r="B86" s="8" t="s">
        <v>71</v>
      </c>
      <c r="C86" s="4">
        <v>45</v>
      </c>
      <c r="D86" s="4">
        <v>38</v>
      </c>
      <c r="E86" s="4">
        <v>45</v>
      </c>
      <c r="F86" s="5"/>
      <c r="G86" s="6">
        <f t="shared" si="21"/>
        <v>128</v>
      </c>
      <c r="H86" s="4">
        <f t="shared" si="22"/>
        <v>42.666666666666664</v>
      </c>
      <c r="I86" s="4">
        <f t="shared" si="23"/>
        <v>10.666666666666666</v>
      </c>
      <c r="J86" s="5"/>
      <c r="K86" s="4">
        <v>41</v>
      </c>
      <c r="L86" s="4">
        <f t="shared" si="24"/>
        <v>123</v>
      </c>
      <c r="M86" s="4">
        <f t="shared" si="25"/>
        <v>30.75</v>
      </c>
      <c r="N86" s="4">
        <f t="shared" si="26"/>
        <v>41.416666666666664</v>
      </c>
    </row>
    <row r="87" spans="1:15" x14ac:dyDescent="0.3">
      <c r="A87" s="2">
        <v>12</v>
      </c>
      <c r="B87" s="8" t="s">
        <v>70</v>
      </c>
      <c r="C87" s="4">
        <v>52</v>
      </c>
      <c r="D87" s="4">
        <v>45</v>
      </c>
      <c r="E87" s="4">
        <v>42</v>
      </c>
      <c r="F87" s="5"/>
      <c r="G87" s="6">
        <f t="shared" si="21"/>
        <v>139</v>
      </c>
      <c r="H87" s="4">
        <f t="shared" si="22"/>
        <v>46.333333333333336</v>
      </c>
      <c r="I87" s="4">
        <f t="shared" si="23"/>
        <v>11.583333333333334</v>
      </c>
      <c r="J87" s="5"/>
      <c r="K87" s="4">
        <v>45</v>
      </c>
      <c r="L87" s="4">
        <f t="shared" si="24"/>
        <v>135</v>
      </c>
      <c r="M87" s="4">
        <f t="shared" si="25"/>
        <v>33.75</v>
      </c>
      <c r="N87" s="4">
        <f t="shared" si="26"/>
        <v>45.333333333333336</v>
      </c>
    </row>
    <row r="88" spans="1:15" x14ac:dyDescent="0.3">
      <c r="A88" s="2">
        <v>13</v>
      </c>
      <c r="B88" s="8" t="s">
        <v>77</v>
      </c>
      <c r="C88" s="4">
        <v>36</v>
      </c>
      <c r="D88" s="4">
        <v>29</v>
      </c>
      <c r="E88" s="4">
        <v>28</v>
      </c>
      <c r="F88" s="5"/>
      <c r="G88" s="6">
        <f t="shared" si="21"/>
        <v>93</v>
      </c>
      <c r="H88" s="4">
        <f t="shared" si="22"/>
        <v>31</v>
      </c>
      <c r="I88" s="4">
        <f t="shared" si="23"/>
        <v>7.75</v>
      </c>
      <c r="J88" s="5"/>
      <c r="K88" s="4">
        <v>38</v>
      </c>
      <c r="L88" s="4">
        <f t="shared" si="24"/>
        <v>114</v>
      </c>
      <c r="M88" s="4">
        <f t="shared" si="25"/>
        <v>28.5</v>
      </c>
      <c r="N88" s="4">
        <f t="shared" si="26"/>
        <v>36.25</v>
      </c>
    </row>
    <row r="89" spans="1:15" x14ac:dyDescent="0.3">
      <c r="A89" s="2">
        <v>14</v>
      </c>
      <c r="B89" s="8" t="s">
        <v>69</v>
      </c>
      <c r="C89" s="4">
        <v>55</v>
      </c>
      <c r="D89" s="4">
        <v>39</v>
      </c>
      <c r="E89" s="4">
        <v>32</v>
      </c>
      <c r="F89" s="5"/>
      <c r="G89" s="6">
        <f t="shared" si="21"/>
        <v>126</v>
      </c>
      <c r="H89" s="4">
        <f t="shared" si="22"/>
        <v>42</v>
      </c>
      <c r="I89" s="4">
        <f t="shared" si="23"/>
        <v>10.5</v>
      </c>
      <c r="J89" s="5"/>
      <c r="K89" s="4">
        <v>40</v>
      </c>
      <c r="L89" s="4">
        <f t="shared" si="24"/>
        <v>120</v>
      </c>
      <c r="M89" s="4">
        <f t="shared" si="25"/>
        <v>30</v>
      </c>
      <c r="N89" s="4">
        <f t="shared" si="26"/>
        <v>40.5</v>
      </c>
    </row>
    <row r="90" spans="1:15" x14ac:dyDescent="0.3">
      <c r="A90" s="2">
        <v>15</v>
      </c>
      <c r="B90" s="8" t="s">
        <v>65</v>
      </c>
      <c r="C90" s="4">
        <v>87</v>
      </c>
      <c r="D90" s="4">
        <v>83</v>
      </c>
      <c r="E90" s="4">
        <v>82</v>
      </c>
      <c r="F90" s="5"/>
      <c r="G90" s="6">
        <f t="shared" si="21"/>
        <v>252</v>
      </c>
      <c r="H90" s="4">
        <f t="shared" si="22"/>
        <v>84</v>
      </c>
      <c r="I90" s="4">
        <f t="shared" si="23"/>
        <v>21</v>
      </c>
      <c r="J90" s="5"/>
      <c r="K90" s="4">
        <v>86</v>
      </c>
      <c r="L90" s="4">
        <f t="shared" si="24"/>
        <v>258</v>
      </c>
      <c r="M90" s="4">
        <f t="shared" si="25"/>
        <v>64.5</v>
      </c>
      <c r="N90" s="4">
        <f t="shared" si="26"/>
        <v>85.5</v>
      </c>
    </row>
    <row r="91" spans="1:15" x14ac:dyDescent="0.3">
      <c r="A91" s="2">
        <v>16</v>
      </c>
      <c r="B91" s="8" t="s">
        <v>78</v>
      </c>
      <c r="C91" s="4">
        <v>60</v>
      </c>
      <c r="D91" s="4">
        <v>50</v>
      </c>
      <c r="E91" s="4">
        <v>54</v>
      </c>
      <c r="F91" s="5"/>
      <c r="G91" s="6">
        <f t="shared" si="21"/>
        <v>164</v>
      </c>
      <c r="H91" s="4">
        <f t="shared" si="22"/>
        <v>54.666666666666664</v>
      </c>
      <c r="I91" s="4">
        <f t="shared" si="23"/>
        <v>13.666666666666666</v>
      </c>
      <c r="J91" s="5"/>
      <c r="K91" s="4">
        <v>55</v>
      </c>
      <c r="L91" s="4">
        <f t="shared" si="24"/>
        <v>165</v>
      </c>
      <c r="M91" s="4">
        <f t="shared" si="25"/>
        <v>41.25</v>
      </c>
      <c r="N91" s="4">
        <f t="shared" si="26"/>
        <v>54.916666666666664</v>
      </c>
    </row>
    <row r="95" spans="1:15" x14ac:dyDescent="0.3">
      <c r="A95" s="63" t="s">
        <v>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x14ac:dyDescent="0.3">
      <c r="A96" s="63" t="s">
        <v>1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1:15" x14ac:dyDescent="0.3">
      <c r="A97" s="63" t="s">
        <v>63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x14ac:dyDescent="0.3">
      <c r="B98" s="64" t="s">
        <v>21</v>
      </c>
      <c r="C98" s="64"/>
      <c r="D98" s="64"/>
    </row>
    <row r="99" spans="1:15" x14ac:dyDescent="0.3">
      <c r="C99" s="1" t="s">
        <v>4</v>
      </c>
      <c r="D99" s="1" t="s">
        <v>5</v>
      </c>
      <c r="E99" s="1" t="s">
        <v>6</v>
      </c>
      <c r="F99" s="1"/>
      <c r="G99" s="1" t="s">
        <v>7</v>
      </c>
      <c r="H99" s="1" t="s">
        <v>8</v>
      </c>
      <c r="I99" s="3">
        <v>0.25</v>
      </c>
      <c r="J99" s="1"/>
      <c r="K99" s="1" t="s">
        <v>9</v>
      </c>
      <c r="L99" s="1"/>
      <c r="M99" s="3">
        <v>0.75</v>
      </c>
      <c r="N99" s="1" t="s">
        <v>10</v>
      </c>
    </row>
    <row r="100" spans="1:15" x14ac:dyDescent="0.3">
      <c r="A100" s="2">
        <v>1</v>
      </c>
      <c r="B100" s="8" t="s">
        <v>73</v>
      </c>
      <c r="C100" s="4">
        <v>53</v>
      </c>
      <c r="D100" s="4">
        <v>58</v>
      </c>
      <c r="E100" s="4">
        <v>52</v>
      </c>
      <c r="F100" s="5"/>
      <c r="G100" s="6">
        <f>SUM(C100:E100)</f>
        <v>163</v>
      </c>
      <c r="H100" s="4">
        <f>AVERAGE(C100:E100)</f>
        <v>54.333333333333336</v>
      </c>
      <c r="I100" s="4">
        <f>G100/12</f>
        <v>13.583333333333334</v>
      </c>
      <c r="J100" s="5"/>
      <c r="K100" s="4">
        <v>53</v>
      </c>
      <c r="L100" s="4">
        <f>K100*3</f>
        <v>159</v>
      </c>
      <c r="M100" s="4">
        <f>L100/4</f>
        <v>39.75</v>
      </c>
      <c r="N100" s="4">
        <f>M100+I100</f>
        <v>53.333333333333336</v>
      </c>
    </row>
    <row r="101" spans="1:15" x14ac:dyDescent="0.3">
      <c r="A101" s="2">
        <v>2</v>
      </c>
      <c r="B101" s="8" t="s">
        <v>74</v>
      </c>
      <c r="C101" s="4">
        <v>39</v>
      </c>
      <c r="D101" s="4">
        <v>34</v>
      </c>
      <c r="E101" s="4">
        <v>31</v>
      </c>
      <c r="F101" s="5"/>
      <c r="G101" s="6">
        <f t="shared" ref="G101:G115" si="27">SUM(C101:E101)</f>
        <v>104</v>
      </c>
      <c r="H101" s="4">
        <f t="shared" ref="H101:H115" si="28">AVERAGE(C101:E101)</f>
        <v>34.666666666666664</v>
      </c>
      <c r="I101" s="4">
        <f t="shared" ref="I101:I115" si="29">G101/12</f>
        <v>8.6666666666666661</v>
      </c>
      <c r="J101" s="5"/>
      <c r="K101" s="4">
        <v>34</v>
      </c>
      <c r="L101" s="4">
        <f t="shared" ref="L101:L115" si="30">K101*3</f>
        <v>102</v>
      </c>
      <c r="M101" s="4">
        <f t="shared" ref="M101:M115" si="31">L101/4</f>
        <v>25.5</v>
      </c>
      <c r="N101" s="4">
        <f t="shared" ref="N101:N115" si="32">M101+I101</f>
        <v>34.166666666666664</v>
      </c>
    </row>
    <row r="102" spans="1:15" x14ac:dyDescent="0.3">
      <c r="A102" s="2">
        <v>3</v>
      </c>
      <c r="B102" s="8" t="s">
        <v>68</v>
      </c>
      <c r="C102" s="4">
        <v>41</v>
      </c>
      <c r="D102" s="4">
        <v>44</v>
      </c>
      <c r="E102" s="4">
        <v>38</v>
      </c>
      <c r="F102" s="5"/>
      <c r="G102" s="6">
        <f t="shared" si="27"/>
        <v>123</v>
      </c>
      <c r="H102" s="4">
        <f t="shared" si="28"/>
        <v>41</v>
      </c>
      <c r="I102" s="4">
        <f t="shared" si="29"/>
        <v>10.25</v>
      </c>
      <c r="J102" s="5"/>
      <c r="K102" s="4">
        <v>41</v>
      </c>
      <c r="L102" s="4">
        <f t="shared" si="30"/>
        <v>123</v>
      </c>
      <c r="M102" s="4">
        <f t="shared" si="31"/>
        <v>30.75</v>
      </c>
      <c r="N102" s="4">
        <f t="shared" si="32"/>
        <v>41</v>
      </c>
    </row>
    <row r="103" spans="1:15" x14ac:dyDescent="0.3">
      <c r="A103" s="2">
        <v>4</v>
      </c>
      <c r="B103" s="8" t="s">
        <v>75</v>
      </c>
      <c r="C103" s="4">
        <v>28</v>
      </c>
      <c r="D103" s="4">
        <v>22</v>
      </c>
      <c r="E103" s="4">
        <v>29</v>
      </c>
      <c r="F103" s="5"/>
      <c r="G103" s="6">
        <f t="shared" si="27"/>
        <v>79</v>
      </c>
      <c r="H103" s="4">
        <f t="shared" si="28"/>
        <v>26.333333333333332</v>
      </c>
      <c r="I103" s="4">
        <f t="shared" si="29"/>
        <v>6.583333333333333</v>
      </c>
      <c r="J103" s="5"/>
      <c r="K103" s="4">
        <v>32</v>
      </c>
      <c r="L103" s="4">
        <f t="shared" si="30"/>
        <v>96</v>
      </c>
      <c r="M103" s="4">
        <f t="shared" si="31"/>
        <v>24</v>
      </c>
      <c r="N103" s="4">
        <f t="shared" si="32"/>
        <v>30.583333333333332</v>
      </c>
    </row>
    <row r="104" spans="1:15" x14ac:dyDescent="0.3">
      <c r="A104" s="2">
        <v>5</v>
      </c>
      <c r="B104" s="8" t="s">
        <v>64</v>
      </c>
      <c r="C104" s="4">
        <v>80</v>
      </c>
      <c r="D104" s="4">
        <v>83</v>
      </c>
      <c r="E104" s="4">
        <v>81</v>
      </c>
      <c r="F104" s="5"/>
      <c r="G104" s="6">
        <f t="shared" si="27"/>
        <v>244</v>
      </c>
      <c r="H104" s="4">
        <f t="shared" si="28"/>
        <v>81.333333333333329</v>
      </c>
      <c r="I104" s="4">
        <f t="shared" si="29"/>
        <v>20.333333333333332</v>
      </c>
      <c r="J104" s="5"/>
      <c r="K104" s="4">
        <v>83</v>
      </c>
      <c r="L104" s="4">
        <f t="shared" si="30"/>
        <v>249</v>
      </c>
      <c r="M104" s="4">
        <f t="shared" si="31"/>
        <v>62.25</v>
      </c>
      <c r="N104" s="4">
        <f t="shared" si="32"/>
        <v>82.583333333333329</v>
      </c>
    </row>
    <row r="105" spans="1:15" x14ac:dyDescent="0.3">
      <c r="A105" s="2">
        <v>6</v>
      </c>
      <c r="B105" s="8" t="s">
        <v>66</v>
      </c>
      <c r="C105" s="4">
        <v>54</v>
      </c>
      <c r="D105" s="4">
        <v>53</v>
      </c>
      <c r="E105" s="4">
        <v>52</v>
      </c>
      <c r="F105" s="5"/>
      <c r="G105" s="6">
        <f t="shared" si="27"/>
        <v>159</v>
      </c>
      <c r="H105" s="4">
        <f t="shared" si="28"/>
        <v>53</v>
      </c>
      <c r="I105" s="4">
        <f t="shared" si="29"/>
        <v>13.25</v>
      </c>
      <c r="J105" s="5"/>
      <c r="K105" s="4">
        <v>54</v>
      </c>
      <c r="L105" s="4">
        <f t="shared" si="30"/>
        <v>162</v>
      </c>
      <c r="M105" s="4">
        <f t="shared" si="31"/>
        <v>40.5</v>
      </c>
      <c r="N105" s="4">
        <f t="shared" si="32"/>
        <v>53.75</v>
      </c>
    </row>
    <row r="106" spans="1:15" x14ac:dyDescent="0.3">
      <c r="A106" s="2">
        <v>7</v>
      </c>
      <c r="B106" s="8" t="s">
        <v>76</v>
      </c>
      <c r="C106" s="4">
        <v>60</v>
      </c>
      <c r="D106" s="4">
        <v>67</v>
      </c>
      <c r="E106" s="4">
        <v>62</v>
      </c>
      <c r="F106" s="5"/>
      <c r="G106" s="6">
        <f t="shared" si="27"/>
        <v>189</v>
      </c>
      <c r="H106" s="4">
        <f t="shared" si="28"/>
        <v>63</v>
      </c>
      <c r="I106" s="4">
        <f t="shared" si="29"/>
        <v>15.75</v>
      </c>
      <c r="J106" s="5"/>
      <c r="K106" s="4">
        <v>55</v>
      </c>
      <c r="L106" s="4">
        <f t="shared" si="30"/>
        <v>165</v>
      </c>
      <c r="M106" s="4">
        <f t="shared" si="31"/>
        <v>41.25</v>
      </c>
      <c r="N106" s="4">
        <f t="shared" si="32"/>
        <v>57</v>
      </c>
    </row>
    <row r="107" spans="1:15" x14ac:dyDescent="0.3">
      <c r="A107" s="2">
        <v>8</v>
      </c>
      <c r="B107" s="8" t="s">
        <v>67</v>
      </c>
      <c r="C107" s="4">
        <v>39</v>
      </c>
      <c r="D107" s="4">
        <v>40</v>
      </c>
      <c r="E107" s="4">
        <v>38</v>
      </c>
      <c r="F107" s="5"/>
      <c r="G107" s="6">
        <f t="shared" si="27"/>
        <v>117</v>
      </c>
      <c r="H107" s="4">
        <f t="shared" si="28"/>
        <v>39</v>
      </c>
      <c r="I107" s="4">
        <f t="shared" si="29"/>
        <v>9.75</v>
      </c>
      <c r="J107" s="5"/>
      <c r="K107" s="4">
        <v>32</v>
      </c>
      <c r="L107" s="4">
        <f t="shared" si="30"/>
        <v>96</v>
      </c>
      <c r="M107" s="4">
        <f t="shared" si="31"/>
        <v>24</v>
      </c>
      <c r="N107" s="4">
        <f t="shared" si="32"/>
        <v>33.75</v>
      </c>
    </row>
    <row r="108" spans="1:15" x14ac:dyDescent="0.3">
      <c r="A108" s="2">
        <v>9</v>
      </c>
      <c r="B108" s="8" t="s">
        <v>79</v>
      </c>
      <c r="C108" s="4">
        <v>55</v>
      </c>
      <c r="D108" s="4">
        <v>39</v>
      </c>
      <c r="E108" s="4">
        <v>37</v>
      </c>
      <c r="F108" s="5"/>
      <c r="G108" s="6">
        <f t="shared" si="27"/>
        <v>131</v>
      </c>
      <c r="H108" s="4">
        <f t="shared" si="28"/>
        <v>43.666666666666664</v>
      </c>
      <c r="I108" s="4">
        <f t="shared" si="29"/>
        <v>10.916666666666666</v>
      </c>
      <c r="J108" s="5"/>
      <c r="K108" s="4">
        <v>45</v>
      </c>
      <c r="L108" s="4">
        <f t="shared" si="30"/>
        <v>135</v>
      </c>
      <c r="M108" s="4">
        <f t="shared" si="31"/>
        <v>33.75</v>
      </c>
      <c r="N108" s="4">
        <f t="shared" si="32"/>
        <v>44.666666666666664</v>
      </c>
    </row>
    <row r="109" spans="1:15" x14ac:dyDescent="0.3">
      <c r="A109" s="2">
        <v>10</v>
      </c>
      <c r="B109" s="8" t="s">
        <v>72</v>
      </c>
      <c r="C109" s="4">
        <v>54</v>
      </c>
      <c r="D109" s="4">
        <v>45</v>
      </c>
      <c r="E109" s="4">
        <v>42</v>
      </c>
      <c r="F109" s="5"/>
      <c r="G109" s="6">
        <f t="shared" si="27"/>
        <v>141</v>
      </c>
      <c r="H109" s="4">
        <f t="shared" si="28"/>
        <v>47</v>
      </c>
      <c r="I109" s="4">
        <f t="shared" si="29"/>
        <v>11.75</v>
      </c>
      <c r="J109" s="5"/>
      <c r="K109" s="4">
        <v>45</v>
      </c>
      <c r="L109" s="4">
        <f t="shared" si="30"/>
        <v>135</v>
      </c>
      <c r="M109" s="4">
        <f t="shared" si="31"/>
        <v>33.75</v>
      </c>
      <c r="N109" s="4">
        <f t="shared" si="32"/>
        <v>45.5</v>
      </c>
    </row>
    <row r="110" spans="1:15" x14ac:dyDescent="0.3">
      <c r="A110" s="2">
        <v>11</v>
      </c>
      <c r="B110" s="8" t="s">
        <v>71</v>
      </c>
      <c r="C110" s="4">
        <v>55</v>
      </c>
      <c r="D110" s="4">
        <v>44</v>
      </c>
      <c r="E110" s="4">
        <v>33</v>
      </c>
      <c r="F110" s="5"/>
      <c r="G110" s="6">
        <f t="shared" si="27"/>
        <v>132</v>
      </c>
      <c r="H110" s="4">
        <f t="shared" si="28"/>
        <v>44</v>
      </c>
      <c r="I110" s="4">
        <f t="shared" si="29"/>
        <v>11</v>
      </c>
      <c r="J110" s="5"/>
      <c r="K110" s="4">
        <v>41</v>
      </c>
      <c r="L110" s="4">
        <f t="shared" si="30"/>
        <v>123</v>
      </c>
      <c r="M110" s="4">
        <f t="shared" si="31"/>
        <v>30.75</v>
      </c>
      <c r="N110" s="4">
        <f t="shared" si="32"/>
        <v>41.75</v>
      </c>
    </row>
    <row r="111" spans="1:15" x14ac:dyDescent="0.3">
      <c r="A111" s="2">
        <v>12</v>
      </c>
      <c r="B111" s="8" t="s">
        <v>70</v>
      </c>
      <c r="C111" s="4">
        <v>45</v>
      </c>
      <c r="D111" s="4">
        <v>41</v>
      </c>
      <c r="E111" s="4">
        <v>39</v>
      </c>
      <c r="F111" s="5"/>
      <c r="G111" s="6">
        <f t="shared" si="27"/>
        <v>125</v>
      </c>
      <c r="H111" s="4">
        <f t="shared" si="28"/>
        <v>41.666666666666664</v>
      </c>
      <c r="I111" s="4">
        <f t="shared" si="29"/>
        <v>10.416666666666666</v>
      </c>
      <c r="J111" s="5"/>
      <c r="K111" s="4">
        <v>40</v>
      </c>
      <c r="L111" s="4">
        <f t="shared" si="30"/>
        <v>120</v>
      </c>
      <c r="M111" s="4">
        <f t="shared" si="31"/>
        <v>30</v>
      </c>
      <c r="N111" s="4">
        <f t="shared" si="32"/>
        <v>40.416666666666664</v>
      </c>
    </row>
    <row r="112" spans="1:15" x14ac:dyDescent="0.3">
      <c r="A112" s="2">
        <v>13</v>
      </c>
      <c r="B112" s="8" t="s">
        <v>77</v>
      </c>
      <c r="C112" s="4">
        <v>62</v>
      </c>
      <c r="D112" s="4">
        <v>58</v>
      </c>
      <c r="E112" s="4">
        <v>45</v>
      </c>
      <c r="F112" s="5"/>
      <c r="G112" s="6">
        <f t="shared" si="27"/>
        <v>165</v>
      </c>
      <c r="H112" s="4">
        <f t="shared" si="28"/>
        <v>55</v>
      </c>
      <c r="I112" s="4">
        <f t="shared" si="29"/>
        <v>13.75</v>
      </c>
      <c r="J112" s="5"/>
      <c r="K112" s="4">
        <v>48</v>
      </c>
      <c r="L112" s="4">
        <f t="shared" si="30"/>
        <v>144</v>
      </c>
      <c r="M112" s="4">
        <f t="shared" si="31"/>
        <v>36</v>
      </c>
      <c r="N112" s="4">
        <f t="shared" si="32"/>
        <v>49.75</v>
      </c>
    </row>
    <row r="113" spans="1:15" x14ac:dyDescent="0.3">
      <c r="A113" s="2">
        <v>14</v>
      </c>
      <c r="B113" s="8" t="s">
        <v>69</v>
      </c>
      <c r="C113" s="4">
        <v>39</v>
      </c>
      <c r="D113" s="4">
        <v>30</v>
      </c>
      <c r="E113" s="4">
        <v>28</v>
      </c>
      <c r="F113" s="5"/>
      <c r="G113" s="6">
        <f t="shared" si="27"/>
        <v>97</v>
      </c>
      <c r="H113" s="4">
        <f t="shared" si="28"/>
        <v>32.333333333333336</v>
      </c>
      <c r="I113" s="4">
        <f t="shared" si="29"/>
        <v>8.0833333333333339</v>
      </c>
      <c r="J113" s="5"/>
      <c r="K113" s="4">
        <v>30</v>
      </c>
      <c r="L113" s="4">
        <f t="shared" si="30"/>
        <v>90</v>
      </c>
      <c r="M113" s="4">
        <f t="shared" si="31"/>
        <v>22.5</v>
      </c>
      <c r="N113" s="4">
        <f t="shared" si="32"/>
        <v>30.583333333333336</v>
      </c>
    </row>
    <row r="114" spans="1:15" x14ac:dyDescent="0.3">
      <c r="A114" s="2">
        <v>15</v>
      </c>
      <c r="B114" s="8" t="s">
        <v>65</v>
      </c>
      <c r="C114" s="4">
        <v>76</v>
      </c>
      <c r="D114" s="4">
        <v>75</v>
      </c>
      <c r="E114" s="4">
        <v>75</v>
      </c>
      <c r="F114" s="5"/>
      <c r="G114" s="6">
        <f t="shared" si="27"/>
        <v>226</v>
      </c>
      <c r="H114" s="4">
        <f t="shared" si="28"/>
        <v>75.333333333333329</v>
      </c>
      <c r="I114" s="4">
        <f t="shared" si="29"/>
        <v>18.833333333333332</v>
      </c>
      <c r="J114" s="5"/>
      <c r="K114" s="4">
        <v>76</v>
      </c>
      <c r="L114" s="4">
        <f t="shared" si="30"/>
        <v>228</v>
      </c>
      <c r="M114" s="4">
        <f t="shared" si="31"/>
        <v>57</v>
      </c>
      <c r="N114" s="4">
        <f t="shared" si="32"/>
        <v>75.833333333333329</v>
      </c>
    </row>
    <row r="115" spans="1:15" x14ac:dyDescent="0.3">
      <c r="A115" s="2">
        <v>16</v>
      </c>
      <c r="B115" s="8" t="s">
        <v>78</v>
      </c>
      <c r="C115" s="4">
        <v>58</v>
      </c>
      <c r="D115" s="4">
        <v>50</v>
      </c>
      <c r="E115" s="4">
        <v>44</v>
      </c>
      <c r="F115" s="5"/>
      <c r="G115" s="6">
        <f t="shared" si="27"/>
        <v>152</v>
      </c>
      <c r="H115" s="4">
        <f t="shared" si="28"/>
        <v>50.666666666666664</v>
      </c>
      <c r="I115" s="4">
        <f t="shared" si="29"/>
        <v>12.666666666666666</v>
      </c>
      <c r="J115" s="5"/>
      <c r="K115" s="4">
        <v>52</v>
      </c>
      <c r="L115" s="4">
        <f t="shared" si="30"/>
        <v>156</v>
      </c>
      <c r="M115" s="4">
        <f t="shared" si="31"/>
        <v>39</v>
      </c>
      <c r="N115" s="4">
        <f t="shared" si="32"/>
        <v>51.666666666666664</v>
      </c>
    </row>
    <row r="119" spans="1:15" x14ac:dyDescent="0.3">
      <c r="A119" s="63" t="s">
        <v>1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x14ac:dyDescent="0.3">
      <c r="A120" s="63" t="s">
        <v>63</v>
      </c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1:15" x14ac:dyDescent="0.3">
      <c r="B121" s="64" t="s">
        <v>22</v>
      </c>
      <c r="C121" s="64"/>
      <c r="D121" s="64"/>
    </row>
    <row r="122" spans="1:15" x14ac:dyDescent="0.3">
      <c r="C122" s="1" t="s">
        <v>4</v>
      </c>
      <c r="D122" s="1" t="s">
        <v>5</v>
      </c>
      <c r="E122" s="1" t="s">
        <v>6</v>
      </c>
      <c r="F122" s="1"/>
      <c r="G122" s="1" t="s">
        <v>7</v>
      </c>
      <c r="H122" s="1" t="s">
        <v>8</v>
      </c>
      <c r="I122" s="3">
        <v>0.25</v>
      </c>
      <c r="J122" s="1"/>
      <c r="K122" s="1" t="s">
        <v>9</v>
      </c>
      <c r="L122" s="1"/>
      <c r="M122" s="3">
        <v>0.75</v>
      </c>
      <c r="N122" s="1" t="s">
        <v>10</v>
      </c>
    </row>
    <row r="123" spans="1:15" x14ac:dyDescent="0.3">
      <c r="A123" s="2">
        <v>1</v>
      </c>
      <c r="B123" s="8" t="s">
        <v>73</v>
      </c>
      <c r="C123" s="4">
        <v>54</v>
      </c>
      <c r="D123" s="4">
        <v>38</v>
      </c>
      <c r="E123" s="4">
        <v>42</v>
      </c>
      <c r="F123" s="5"/>
      <c r="G123" s="6">
        <f>SUM(C123:E123)</f>
        <v>134</v>
      </c>
      <c r="H123" s="4">
        <f>AVERAGE(C123:E123)</f>
        <v>44.666666666666664</v>
      </c>
      <c r="I123" s="4">
        <f>G123/12</f>
        <v>11.166666666666666</v>
      </c>
      <c r="J123" s="5"/>
      <c r="K123" s="4">
        <v>47</v>
      </c>
      <c r="L123" s="4">
        <f>K123*3</f>
        <v>141</v>
      </c>
      <c r="M123" s="4">
        <f>L123/4</f>
        <v>35.25</v>
      </c>
      <c r="N123" s="4">
        <f>M123+I123</f>
        <v>46.416666666666664</v>
      </c>
    </row>
    <row r="124" spans="1:15" x14ac:dyDescent="0.3">
      <c r="A124" s="2">
        <v>2</v>
      </c>
      <c r="B124" s="8" t="s">
        <v>74</v>
      </c>
      <c r="C124" s="4">
        <v>36</v>
      </c>
      <c r="D124" s="4">
        <v>41</v>
      </c>
      <c r="E124" s="4">
        <v>38</v>
      </c>
      <c r="F124" s="5"/>
      <c r="G124" s="6">
        <f t="shared" ref="G124:G138" si="33">SUM(C124:E124)</f>
        <v>115</v>
      </c>
      <c r="H124" s="4">
        <f t="shared" ref="H124:H138" si="34">AVERAGE(C124:E124)</f>
        <v>38.333333333333336</v>
      </c>
      <c r="I124" s="4">
        <f t="shared" ref="I124:I138" si="35">G124/12</f>
        <v>9.5833333333333339</v>
      </c>
      <c r="J124" s="5"/>
      <c r="K124" s="4">
        <v>38</v>
      </c>
      <c r="L124" s="4">
        <f t="shared" ref="L124:L138" si="36">K124*3</f>
        <v>114</v>
      </c>
      <c r="M124" s="4">
        <f t="shared" ref="M124:M138" si="37">L124/4</f>
        <v>28.5</v>
      </c>
      <c r="N124" s="4">
        <f t="shared" ref="N124:N138" si="38">M124+I124</f>
        <v>38.083333333333336</v>
      </c>
    </row>
    <row r="125" spans="1:15" x14ac:dyDescent="0.3">
      <c r="A125" s="2">
        <v>3</v>
      </c>
      <c r="B125" s="8" t="s">
        <v>68</v>
      </c>
      <c r="C125" s="4">
        <v>33</v>
      </c>
      <c r="D125" s="4">
        <v>41</v>
      </c>
      <c r="E125" s="4">
        <v>44</v>
      </c>
      <c r="F125" s="5"/>
      <c r="G125" s="6">
        <f t="shared" si="33"/>
        <v>118</v>
      </c>
      <c r="H125" s="4">
        <f t="shared" si="34"/>
        <v>39.333333333333336</v>
      </c>
      <c r="I125" s="4">
        <f t="shared" si="35"/>
        <v>9.8333333333333339</v>
      </c>
      <c r="J125" s="5"/>
      <c r="K125" s="4">
        <v>42</v>
      </c>
      <c r="L125" s="4">
        <f t="shared" si="36"/>
        <v>126</v>
      </c>
      <c r="M125" s="4">
        <f t="shared" si="37"/>
        <v>31.5</v>
      </c>
      <c r="N125" s="4">
        <f t="shared" si="38"/>
        <v>41.333333333333336</v>
      </c>
    </row>
    <row r="126" spans="1:15" x14ac:dyDescent="0.3">
      <c r="A126" s="2">
        <v>4</v>
      </c>
      <c r="B126" s="8" t="s">
        <v>75</v>
      </c>
      <c r="C126" s="4">
        <v>34</v>
      </c>
      <c r="D126" s="4">
        <v>33</v>
      </c>
      <c r="E126" s="4">
        <v>40</v>
      </c>
      <c r="F126" s="5"/>
      <c r="G126" s="6">
        <f t="shared" si="33"/>
        <v>107</v>
      </c>
      <c r="H126" s="4">
        <f t="shared" si="34"/>
        <v>35.666666666666664</v>
      </c>
      <c r="I126" s="4">
        <f t="shared" si="35"/>
        <v>8.9166666666666661</v>
      </c>
      <c r="J126" s="5"/>
      <c r="K126" s="4">
        <v>40</v>
      </c>
      <c r="L126" s="4">
        <f t="shared" si="36"/>
        <v>120</v>
      </c>
      <c r="M126" s="4">
        <f t="shared" si="37"/>
        <v>30</v>
      </c>
      <c r="N126" s="4">
        <f t="shared" si="38"/>
        <v>38.916666666666664</v>
      </c>
    </row>
    <row r="127" spans="1:15" x14ac:dyDescent="0.3">
      <c r="A127" s="2">
        <v>5</v>
      </c>
      <c r="B127" s="8" t="s">
        <v>64</v>
      </c>
      <c r="C127" s="4">
        <v>42</v>
      </c>
      <c r="D127" s="4">
        <v>41</v>
      </c>
      <c r="E127" s="4">
        <v>38</v>
      </c>
      <c r="F127" s="5"/>
      <c r="G127" s="6">
        <f t="shared" si="33"/>
        <v>121</v>
      </c>
      <c r="H127" s="4">
        <f t="shared" si="34"/>
        <v>40.333333333333336</v>
      </c>
      <c r="I127" s="4">
        <f t="shared" si="35"/>
        <v>10.083333333333334</v>
      </c>
      <c r="J127" s="5"/>
      <c r="K127" s="4">
        <v>38</v>
      </c>
      <c r="L127" s="4">
        <f t="shared" si="36"/>
        <v>114</v>
      </c>
      <c r="M127" s="4">
        <f t="shared" si="37"/>
        <v>28.5</v>
      </c>
      <c r="N127" s="4">
        <f t="shared" si="38"/>
        <v>38.583333333333336</v>
      </c>
    </row>
    <row r="128" spans="1:15" x14ac:dyDescent="0.3">
      <c r="A128" s="2">
        <v>6</v>
      </c>
      <c r="B128" s="8" t="s">
        <v>66</v>
      </c>
      <c r="C128" s="4">
        <v>55</v>
      </c>
      <c r="D128" s="4">
        <v>48</v>
      </c>
      <c r="E128" s="4">
        <v>34</v>
      </c>
      <c r="F128" s="5"/>
      <c r="G128" s="6">
        <f t="shared" si="33"/>
        <v>137</v>
      </c>
      <c r="H128" s="4">
        <f t="shared" si="34"/>
        <v>45.666666666666664</v>
      </c>
      <c r="I128" s="4">
        <f t="shared" si="35"/>
        <v>11.416666666666666</v>
      </c>
      <c r="J128" s="5"/>
      <c r="K128" s="4">
        <v>44</v>
      </c>
      <c r="L128" s="4">
        <f t="shared" si="36"/>
        <v>132</v>
      </c>
      <c r="M128" s="4">
        <f t="shared" si="37"/>
        <v>33</v>
      </c>
      <c r="N128" s="4">
        <f t="shared" si="38"/>
        <v>44.416666666666664</v>
      </c>
    </row>
    <row r="129" spans="1:15" x14ac:dyDescent="0.3">
      <c r="A129" s="2">
        <v>7</v>
      </c>
      <c r="B129" s="8" t="s">
        <v>76</v>
      </c>
      <c r="C129" s="4">
        <v>50</v>
      </c>
      <c r="D129" s="4">
        <v>51</v>
      </c>
      <c r="E129" s="4">
        <v>50</v>
      </c>
      <c r="F129" s="5"/>
      <c r="G129" s="6">
        <f t="shared" si="33"/>
        <v>151</v>
      </c>
      <c r="H129" s="4">
        <f t="shared" si="34"/>
        <v>50.333333333333336</v>
      </c>
      <c r="I129" s="4">
        <f t="shared" si="35"/>
        <v>12.583333333333334</v>
      </c>
      <c r="J129" s="5"/>
      <c r="K129" s="4">
        <v>51</v>
      </c>
      <c r="L129" s="4">
        <f t="shared" si="36"/>
        <v>153</v>
      </c>
      <c r="M129" s="4">
        <f t="shared" si="37"/>
        <v>38.25</v>
      </c>
      <c r="N129" s="4">
        <f t="shared" si="38"/>
        <v>50.833333333333336</v>
      </c>
    </row>
    <row r="130" spans="1:15" x14ac:dyDescent="0.3">
      <c r="A130" s="2">
        <v>8</v>
      </c>
      <c r="B130" s="8" t="s">
        <v>67</v>
      </c>
      <c r="C130" s="4">
        <v>35</v>
      </c>
      <c r="D130" s="4">
        <v>39</v>
      </c>
      <c r="E130" s="4">
        <v>35</v>
      </c>
      <c r="F130" s="5"/>
      <c r="G130" s="6">
        <f t="shared" si="33"/>
        <v>109</v>
      </c>
      <c r="H130" s="4">
        <f t="shared" si="34"/>
        <v>36.333333333333336</v>
      </c>
      <c r="I130" s="4">
        <f t="shared" si="35"/>
        <v>9.0833333333333339</v>
      </c>
      <c r="J130" s="5"/>
      <c r="K130" s="4">
        <v>50</v>
      </c>
      <c r="L130" s="4">
        <f t="shared" si="36"/>
        <v>150</v>
      </c>
      <c r="M130" s="4">
        <f t="shared" si="37"/>
        <v>37.5</v>
      </c>
      <c r="N130" s="4">
        <f t="shared" si="38"/>
        <v>46.583333333333336</v>
      </c>
    </row>
    <row r="131" spans="1:15" x14ac:dyDescent="0.3">
      <c r="A131" s="2">
        <v>9</v>
      </c>
      <c r="B131" s="8" t="s">
        <v>79</v>
      </c>
      <c r="C131" s="4">
        <v>45</v>
      </c>
      <c r="D131" s="4">
        <v>41</v>
      </c>
      <c r="E131" s="4">
        <v>37</v>
      </c>
      <c r="F131" s="5"/>
      <c r="G131" s="6">
        <f t="shared" si="33"/>
        <v>123</v>
      </c>
      <c r="H131" s="4">
        <f t="shared" si="34"/>
        <v>41</v>
      </c>
      <c r="I131" s="4">
        <f t="shared" si="35"/>
        <v>10.25</v>
      </c>
      <c r="J131" s="5"/>
      <c r="K131" s="4">
        <v>47</v>
      </c>
      <c r="L131" s="4">
        <f t="shared" si="36"/>
        <v>141</v>
      </c>
      <c r="M131" s="4">
        <f t="shared" si="37"/>
        <v>35.25</v>
      </c>
      <c r="N131" s="4">
        <f t="shared" si="38"/>
        <v>45.5</v>
      </c>
    </row>
    <row r="132" spans="1:15" x14ac:dyDescent="0.3">
      <c r="A132" s="2">
        <v>10</v>
      </c>
      <c r="B132" s="8" t="s">
        <v>72</v>
      </c>
      <c r="C132" s="4">
        <v>50</v>
      </c>
      <c r="D132" s="4">
        <v>55</v>
      </c>
      <c r="E132" s="4">
        <v>35</v>
      </c>
      <c r="F132" s="5"/>
      <c r="G132" s="6">
        <f t="shared" si="33"/>
        <v>140</v>
      </c>
      <c r="H132" s="4">
        <f t="shared" si="34"/>
        <v>46.666666666666664</v>
      </c>
      <c r="I132" s="4">
        <f t="shared" si="35"/>
        <v>11.666666666666666</v>
      </c>
      <c r="J132" s="5"/>
      <c r="K132" s="4">
        <v>43</v>
      </c>
      <c r="L132" s="4">
        <f t="shared" si="36"/>
        <v>129</v>
      </c>
      <c r="M132" s="4">
        <f t="shared" si="37"/>
        <v>32.25</v>
      </c>
      <c r="N132" s="4">
        <f t="shared" si="38"/>
        <v>43.916666666666664</v>
      </c>
    </row>
    <row r="133" spans="1:15" x14ac:dyDescent="0.3">
      <c r="A133" s="2">
        <v>11</v>
      </c>
      <c r="B133" s="8" t="s">
        <v>71</v>
      </c>
      <c r="C133" s="4">
        <v>56</v>
      </c>
      <c r="D133" s="4">
        <v>49</v>
      </c>
      <c r="E133" s="4">
        <v>36</v>
      </c>
      <c r="F133" s="5"/>
      <c r="G133" s="6">
        <f t="shared" si="33"/>
        <v>141</v>
      </c>
      <c r="H133" s="4">
        <f t="shared" si="34"/>
        <v>47</v>
      </c>
      <c r="I133" s="4">
        <f t="shared" si="35"/>
        <v>11.75</v>
      </c>
      <c r="J133" s="5"/>
      <c r="K133" s="4">
        <v>54</v>
      </c>
      <c r="L133" s="4">
        <f t="shared" si="36"/>
        <v>162</v>
      </c>
      <c r="M133" s="4">
        <f t="shared" si="37"/>
        <v>40.5</v>
      </c>
      <c r="N133" s="4">
        <f t="shared" si="38"/>
        <v>52.25</v>
      </c>
    </row>
    <row r="134" spans="1:15" x14ac:dyDescent="0.3">
      <c r="A134" s="2">
        <v>12</v>
      </c>
      <c r="B134" s="8" t="s">
        <v>70</v>
      </c>
      <c r="C134" s="4">
        <v>48</v>
      </c>
      <c r="D134" s="4">
        <v>50</v>
      </c>
      <c r="E134" s="4">
        <v>42</v>
      </c>
      <c r="F134" s="5"/>
      <c r="G134" s="6">
        <f t="shared" si="33"/>
        <v>140</v>
      </c>
      <c r="H134" s="4">
        <f t="shared" si="34"/>
        <v>46.666666666666664</v>
      </c>
      <c r="I134" s="4">
        <f t="shared" si="35"/>
        <v>11.666666666666666</v>
      </c>
      <c r="J134" s="5"/>
      <c r="K134" s="4">
        <v>41</v>
      </c>
      <c r="L134" s="4">
        <f t="shared" si="36"/>
        <v>123</v>
      </c>
      <c r="M134" s="4">
        <f t="shared" si="37"/>
        <v>30.75</v>
      </c>
      <c r="N134" s="4">
        <f t="shared" si="38"/>
        <v>42.416666666666664</v>
      </c>
    </row>
    <row r="135" spans="1:15" x14ac:dyDescent="0.3">
      <c r="A135" s="2">
        <v>13</v>
      </c>
      <c r="B135" s="8" t="s">
        <v>77</v>
      </c>
      <c r="C135" s="4">
        <v>47</v>
      </c>
      <c r="D135" s="4">
        <v>54</v>
      </c>
      <c r="E135" s="4">
        <v>48</v>
      </c>
      <c r="F135" s="5"/>
      <c r="G135" s="6">
        <f t="shared" si="33"/>
        <v>149</v>
      </c>
      <c r="H135" s="4">
        <f t="shared" si="34"/>
        <v>49.666666666666664</v>
      </c>
      <c r="I135" s="4">
        <f t="shared" si="35"/>
        <v>12.416666666666666</v>
      </c>
      <c r="J135" s="5"/>
      <c r="K135" s="4">
        <v>59</v>
      </c>
      <c r="L135" s="4">
        <f t="shared" si="36"/>
        <v>177</v>
      </c>
      <c r="M135" s="4">
        <f t="shared" si="37"/>
        <v>44.25</v>
      </c>
      <c r="N135" s="4">
        <f t="shared" si="38"/>
        <v>56.666666666666664</v>
      </c>
    </row>
    <row r="136" spans="1:15" x14ac:dyDescent="0.3">
      <c r="A136" s="2">
        <v>14</v>
      </c>
      <c r="B136" s="8" t="s">
        <v>69</v>
      </c>
      <c r="C136" s="4">
        <v>52</v>
      </c>
      <c r="D136" s="4">
        <v>47</v>
      </c>
      <c r="E136" s="4">
        <v>47</v>
      </c>
      <c r="F136" s="5"/>
      <c r="G136" s="6">
        <f t="shared" si="33"/>
        <v>146</v>
      </c>
      <c r="H136" s="4">
        <f t="shared" si="34"/>
        <v>48.666666666666664</v>
      </c>
      <c r="I136" s="4">
        <f t="shared" si="35"/>
        <v>12.166666666666666</v>
      </c>
      <c r="J136" s="5"/>
      <c r="K136" s="4">
        <v>55</v>
      </c>
      <c r="L136" s="4">
        <f t="shared" si="36"/>
        <v>165</v>
      </c>
      <c r="M136" s="4">
        <f t="shared" si="37"/>
        <v>41.25</v>
      </c>
      <c r="N136" s="4">
        <f t="shared" si="38"/>
        <v>53.416666666666664</v>
      </c>
    </row>
    <row r="137" spans="1:15" x14ac:dyDescent="0.3">
      <c r="A137" s="2">
        <v>15</v>
      </c>
      <c r="B137" s="8" t="s">
        <v>65</v>
      </c>
      <c r="C137" s="4">
        <v>80</v>
      </c>
      <c r="D137" s="4">
        <v>76</v>
      </c>
      <c r="E137" s="4">
        <v>75</v>
      </c>
      <c r="F137" s="5"/>
      <c r="G137" s="6">
        <f t="shared" si="33"/>
        <v>231</v>
      </c>
      <c r="H137" s="4">
        <f t="shared" si="34"/>
        <v>77</v>
      </c>
      <c r="I137" s="4">
        <f t="shared" si="35"/>
        <v>19.25</v>
      </c>
      <c r="J137" s="5"/>
      <c r="K137" s="4">
        <v>81</v>
      </c>
      <c r="L137" s="4">
        <f t="shared" si="36"/>
        <v>243</v>
      </c>
      <c r="M137" s="4">
        <f t="shared" si="37"/>
        <v>60.75</v>
      </c>
      <c r="N137" s="4">
        <f t="shared" si="38"/>
        <v>80</v>
      </c>
    </row>
    <row r="138" spans="1:15" x14ac:dyDescent="0.3">
      <c r="A138" s="2">
        <v>16</v>
      </c>
      <c r="B138" s="8" t="s">
        <v>78</v>
      </c>
      <c r="C138" s="4">
        <v>55</v>
      </c>
      <c r="D138" s="4">
        <v>60</v>
      </c>
      <c r="E138" s="4">
        <v>62</v>
      </c>
      <c r="F138" s="5"/>
      <c r="G138" s="6">
        <f t="shared" si="33"/>
        <v>177</v>
      </c>
      <c r="H138" s="4">
        <f t="shared" si="34"/>
        <v>59</v>
      </c>
      <c r="I138" s="4">
        <f t="shared" si="35"/>
        <v>14.75</v>
      </c>
      <c r="J138" s="5"/>
      <c r="K138" s="4">
        <v>55</v>
      </c>
      <c r="L138" s="4">
        <f t="shared" si="36"/>
        <v>165</v>
      </c>
      <c r="M138" s="4">
        <f t="shared" si="37"/>
        <v>41.25</v>
      </c>
      <c r="N138" s="4">
        <f t="shared" si="38"/>
        <v>56</v>
      </c>
    </row>
    <row r="142" spans="1:15" x14ac:dyDescent="0.3">
      <c r="A142" s="63" t="s">
        <v>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x14ac:dyDescent="0.3">
      <c r="A143" s="63" t="s">
        <v>1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x14ac:dyDescent="0.3">
      <c r="A144" s="63" t="s">
        <v>63</v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4" x14ac:dyDescent="0.3">
      <c r="B145" s="64" t="s">
        <v>81</v>
      </c>
      <c r="C145" s="64"/>
      <c r="D145" s="64"/>
    </row>
    <row r="146" spans="1:14" x14ac:dyDescent="0.3">
      <c r="C146" s="1" t="s">
        <v>4</v>
      </c>
      <c r="D146" s="1" t="s">
        <v>5</v>
      </c>
      <c r="E146" s="1" t="s">
        <v>6</v>
      </c>
      <c r="F146" s="1"/>
      <c r="G146" s="1" t="s">
        <v>7</v>
      </c>
      <c r="H146" s="1" t="s">
        <v>8</v>
      </c>
      <c r="I146" s="3">
        <v>0.25</v>
      </c>
      <c r="J146" s="1"/>
      <c r="K146" s="1" t="s">
        <v>9</v>
      </c>
      <c r="L146" s="1"/>
      <c r="M146" s="3">
        <v>0.75</v>
      </c>
      <c r="N146" s="1" t="s">
        <v>10</v>
      </c>
    </row>
    <row r="147" spans="1:14" x14ac:dyDescent="0.3">
      <c r="A147" s="2">
        <v>1</v>
      </c>
      <c r="B147" s="8" t="s">
        <v>73</v>
      </c>
      <c r="C147" s="4">
        <v>38</v>
      </c>
      <c r="D147" s="4">
        <v>37</v>
      </c>
      <c r="E147" s="4">
        <v>38</v>
      </c>
      <c r="F147" s="5"/>
      <c r="G147" s="6">
        <f>SUM(C147:E147)</f>
        <v>113</v>
      </c>
      <c r="H147" s="4">
        <f>AVERAGE(C147:E147)</f>
        <v>37.666666666666664</v>
      </c>
      <c r="I147" s="4">
        <f>G147/12</f>
        <v>9.4166666666666661</v>
      </c>
      <c r="J147" s="5"/>
      <c r="K147" s="4">
        <v>39</v>
      </c>
      <c r="L147" s="4">
        <f>K147*3</f>
        <v>117</v>
      </c>
      <c r="M147" s="4">
        <f>L147/4</f>
        <v>29.25</v>
      </c>
      <c r="N147" s="4">
        <f>M147+I147</f>
        <v>38.666666666666664</v>
      </c>
    </row>
    <row r="148" spans="1:14" x14ac:dyDescent="0.3">
      <c r="A148" s="2">
        <v>2</v>
      </c>
      <c r="B148" s="8" t="s">
        <v>74</v>
      </c>
      <c r="C148" s="4">
        <v>52</v>
      </c>
      <c r="D148" s="4">
        <v>45</v>
      </c>
      <c r="E148" s="4">
        <v>42</v>
      </c>
      <c r="F148" s="5"/>
      <c r="G148" s="6">
        <f t="shared" ref="G148:G162" si="39">SUM(C148:E148)</f>
        <v>139</v>
      </c>
      <c r="H148" s="4">
        <f t="shared" ref="H148:H162" si="40">AVERAGE(C148:E148)</f>
        <v>46.333333333333336</v>
      </c>
      <c r="I148" s="4">
        <f t="shared" ref="I148:I162" si="41">G148/12</f>
        <v>11.583333333333334</v>
      </c>
      <c r="J148" s="5"/>
      <c r="K148" s="4">
        <v>44</v>
      </c>
      <c r="L148" s="4">
        <f t="shared" ref="L148:L162" si="42">K148*3</f>
        <v>132</v>
      </c>
      <c r="M148" s="4">
        <f t="shared" ref="M148:M162" si="43">L148/4</f>
        <v>33</v>
      </c>
      <c r="N148" s="4">
        <f t="shared" ref="N148:N162" si="44">M148+I148</f>
        <v>44.583333333333336</v>
      </c>
    </row>
    <row r="149" spans="1:14" x14ac:dyDescent="0.3">
      <c r="A149" s="2">
        <v>3</v>
      </c>
      <c r="B149" s="8" t="s">
        <v>68</v>
      </c>
      <c r="C149" s="4">
        <v>33</v>
      </c>
      <c r="D149" s="4">
        <v>52</v>
      </c>
      <c r="E149" s="4">
        <v>50</v>
      </c>
      <c r="F149" s="5"/>
      <c r="G149" s="6">
        <f t="shared" si="39"/>
        <v>135</v>
      </c>
      <c r="H149" s="4">
        <f t="shared" si="40"/>
        <v>45</v>
      </c>
      <c r="I149" s="4">
        <f t="shared" si="41"/>
        <v>11.25</v>
      </c>
      <c r="J149" s="5"/>
      <c r="K149" s="4">
        <v>41</v>
      </c>
      <c r="L149" s="4">
        <f t="shared" si="42"/>
        <v>123</v>
      </c>
      <c r="M149" s="4">
        <f t="shared" si="43"/>
        <v>30.75</v>
      </c>
      <c r="N149" s="4">
        <f t="shared" si="44"/>
        <v>42</v>
      </c>
    </row>
    <row r="150" spans="1:14" x14ac:dyDescent="0.3">
      <c r="A150" s="2">
        <v>4</v>
      </c>
      <c r="B150" s="8" t="s">
        <v>75</v>
      </c>
      <c r="C150" s="4">
        <v>45</v>
      </c>
      <c r="D150" s="4">
        <v>45</v>
      </c>
      <c r="E150" s="4">
        <v>39</v>
      </c>
      <c r="F150" s="5"/>
      <c r="G150" s="6">
        <f t="shared" si="39"/>
        <v>129</v>
      </c>
      <c r="H150" s="4">
        <f t="shared" si="40"/>
        <v>43</v>
      </c>
      <c r="I150" s="4">
        <f t="shared" si="41"/>
        <v>10.75</v>
      </c>
      <c r="J150" s="5"/>
      <c r="K150" s="4">
        <v>40</v>
      </c>
      <c r="L150" s="4">
        <f t="shared" si="42"/>
        <v>120</v>
      </c>
      <c r="M150" s="4">
        <f t="shared" si="43"/>
        <v>30</v>
      </c>
      <c r="N150" s="4">
        <f t="shared" si="44"/>
        <v>40.75</v>
      </c>
    </row>
    <row r="151" spans="1:14" x14ac:dyDescent="0.3">
      <c r="A151" s="2">
        <v>5</v>
      </c>
      <c r="B151" s="8" t="s">
        <v>64</v>
      </c>
      <c r="C151" s="4">
        <v>62</v>
      </c>
      <c r="D151" s="4">
        <v>62</v>
      </c>
      <c r="E151" s="4">
        <v>58</v>
      </c>
      <c r="F151" s="5"/>
      <c r="G151" s="6">
        <f t="shared" si="39"/>
        <v>182</v>
      </c>
      <c r="H151" s="4">
        <f t="shared" si="40"/>
        <v>60.666666666666664</v>
      </c>
      <c r="I151" s="4">
        <f t="shared" si="41"/>
        <v>15.166666666666666</v>
      </c>
      <c r="J151" s="5"/>
      <c r="K151" s="4">
        <v>52</v>
      </c>
      <c r="L151" s="4">
        <f t="shared" si="42"/>
        <v>156</v>
      </c>
      <c r="M151" s="4">
        <f t="shared" si="43"/>
        <v>39</v>
      </c>
      <c r="N151" s="4">
        <f t="shared" si="44"/>
        <v>54.166666666666664</v>
      </c>
    </row>
    <row r="152" spans="1:14" x14ac:dyDescent="0.3">
      <c r="A152" s="2">
        <v>6</v>
      </c>
      <c r="B152" s="8" t="s">
        <v>66</v>
      </c>
      <c r="C152" s="4">
        <v>52</v>
      </c>
      <c r="D152" s="4">
        <v>38</v>
      </c>
      <c r="E152" s="4">
        <v>40</v>
      </c>
      <c r="F152" s="5"/>
      <c r="G152" s="6">
        <f t="shared" si="39"/>
        <v>130</v>
      </c>
      <c r="H152" s="4">
        <f t="shared" si="40"/>
        <v>43.333333333333336</v>
      </c>
      <c r="I152" s="4">
        <f t="shared" si="41"/>
        <v>10.833333333333334</v>
      </c>
      <c r="J152" s="5"/>
      <c r="K152" s="4">
        <v>41</v>
      </c>
      <c r="L152" s="4">
        <f t="shared" si="42"/>
        <v>123</v>
      </c>
      <c r="M152" s="4">
        <f t="shared" si="43"/>
        <v>30.75</v>
      </c>
      <c r="N152" s="4">
        <f t="shared" si="44"/>
        <v>41.583333333333336</v>
      </c>
    </row>
    <row r="153" spans="1:14" x14ac:dyDescent="0.3">
      <c r="A153" s="2">
        <v>7</v>
      </c>
      <c r="B153" s="8" t="s">
        <v>76</v>
      </c>
      <c r="C153" s="4">
        <v>63</v>
      </c>
      <c r="D153" s="4">
        <v>69</v>
      </c>
      <c r="E153" s="4">
        <v>62</v>
      </c>
      <c r="F153" s="5"/>
      <c r="G153" s="6">
        <f t="shared" si="39"/>
        <v>194</v>
      </c>
      <c r="H153" s="4">
        <f t="shared" si="40"/>
        <v>64.666666666666671</v>
      </c>
      <c r="I153" s="4">
        <f t="shared" si="41"/>
        <v>16.166666666666668</v>
      </c>
      <c r="J153" s="5"/>
      <c r="K153" s="4">
        <v>60</v>
      </c>
      <c r="L153" s="4">
        <f t="shared" si="42"/>
        <v>180</v>
      </c>
      <c r="M153" s="4">
        <f t="shared" si="43"/>
        <v>45</v>
      </c>
      <c r="N153" s="4">
        <f t="shared" si="44"/>
        <v>61.166666666666671</v>
      </c>
    </row>
    <row r="154" spans="1:14" x14ac:dyDescent="0.3">
      <c r="A154" s="2">
        <v>8</v>
      </c>
      <c r="B154" s="8" t="s">
        <v>67</v>
      </c>
      <c r="C154" s="4">
        <v>58</v>
      </c>
      <c r="D154" s="4">
        <v>55</v>
      </c>
      <c r="E154" s="4">
        <v>57</v>
      </c>
      <c r="F154" s="5"/>
      <c r="G154" s="6">
        <f t="shared" si="39"/>
        <v>170</v>
      </c>
      <c r="H154" s="4">
        <f t="shared" si="40"/>
        <v>56.666666666666664</v>
      </c>
      <c r="I154" s="4">
        <f t="shared" si="41"/>
        <v>14.166666666666666</v>
      </c>
      <c r="J154" s="5"/>
      <c r="K154" s="4">
        <v>51</v>
      </c>
      <c r="L154" s="4">
        <f t="shared" si="42"/>
        <v>153</v>
      </c>
      <c r="M154" s="4">
        <f t="shared" si="43"/>
        <v>38.25</v>
      </c>
      <c r="N154" s="4">
        <f t="shared" si="44"/>
        <v>52.416666666666664</v>
      </c>
    </row>
    <row r="155" spans="1:14" x14ac:dyDescent="0.3">
      <c r="A155" s="2">
        <v>9</v>
      </c>
      <c r="B155" s="8" t="s">
        <v>79</v>
      </c>
      <c r="C155" s="4">
        <v>28</v>
      </c>
      <c r="D155" s="4">
        <v>41</v>
      </c>
      <c r="E155" s="4">
        <v>38</v>
      </c>
      <c r="F155" s="5"/>
      <c r="G155" s="6">
        <f t="shared" si="39"/>
        <v>107</v>
      </c>
      <c r="H155" s="4">
        <f t="shared" si="40"/>
        <v>35.666666666666664</v>
      </c>
      <c r="I155" s="4">
        <f t="shared" si="41"/>
        <v>8.9166666666666661</v>
      </c>
      <c r="J155" s="5"/>
      <c r="K155" s="4">
        <v>39</v>
      </c>
      <c r="L155" s="4">
        <f t="shared" si="42"/>
        <v>117</v>
      </c>
      <c r="M155" s="4">
        <f t="shared" si="43"/>
        <v>29.25</v>
      </c>
      <c r="N155" s="4">
        <f t="shared" si="44"/>
        <v>38.166666666666664</v>
      </c>
    </row>
    <row r="156" spans="1:14" x14ac:dyDescent="0.3">
      <c r="A156" s="2">
        <v>10</v>
      </c>
      <c r="B156" s="8" t="s">
        <v>72</v>
      </c>
      <c r="C156" s="4">
        <v>45</v>
      </c>
      <c r="D156" s="4">
        <v>28</v>
      </c>
      <c r="E156" s="4">
        <v>40</v>
      </c>
      <c r="F156" s="5"/>
      <c r="G156" s="6">
        <f t="shared" si="39"/>
        <v>113</v>
      </c>
      <c r="H156" s="4">
        <f t="shared" si="40"/>
        <v>37.666666666666664</v>
      </c>
      <c r="I156" s="4">
        <f t="shared" si="41"/>
        <v>9.4166666666666661</v>
      </c>
      <c r="J156" s="5"/>
      <c r="K156" s="4">
        <v>42</v>
      </c>
      <c r="L156" s="4">
        <f t="shared" si="42"/>
        <v>126</v>
      </c>
      <c r="M156" s="4">
        <f t="shared" si="43"/>
        <v>31.5</v>
      </c>
      <c r="N156" s="4">
        <f t="shared" si="44"/>
        <v>40.916666666666664</v>
      </c>
    </row>
    <row r="157" spans="1:14" x14ac:dyDescent="0.3">
      <c r="A157" s="2">
        <v>11</v>
      </c>
      <c r="B157" s="8" t="s">
        <v>71</v>
      </c>
      <c r="C157" s="4">
        <v>54</v>
      </c>
      <c r="D157" s="4">
        <v>38</v>
      </c>
      <c r="E157" s="4">
        <v>38</v>
      </c>
      <c r="F157" s="5"/>
      <c r="G157" s="6">
        <f t="shared" si="39"/>
        <v>130</v>
      </c>
      <c r="H157" s="4">
        <f t="shared" si="40"/>
        <v>43.333333333333336</v>
      </c>
      <c r="I157" s="4">
        <f t="shared" si="41"/>
        <v>10.833333333333334</v>
      </c>
      <c r="J157" s="5"/>
      <c r="K157" s="4">
        <v>39</v>
      </c>
      <c r="L157" s="4">
        <f t="shared" si="42"/>
        <v>117</v>
      </c>
      <c r="M157" s="4">
        <f t="shared" si="43"/>
        <v>29.25</v>
      </c>
      <c r="N157" s="4">
        <f t="shared" si="44"/>
        <v>40.083333333333336</v>
      </c>
    </row>
    <row r="158" spans="1:14" x14ac:dyDescent="0.3">
      <c r="A158" s="2">
        <v>12</v>
      </c>
      <c r="B158" s="8" t="s">
        <v>70</v>
      </c>
      <c r="C158" s="4">
        <v>39</v>
      </c>
      <c r="D158" s="4">
        <v>41</v>
      </c>
      <c r="E158" s="4">
        <v>35</v>
      </c>
      <c r="F158" s="5"/>
      <c r="G158" s="6">
        <f t="shared" si="39"/>
        <v>115</v>
      </c>
      <c r="H158" s="4">
        <f t="shared" si="40"/>
        <v>38.333333333333336</v>
      </c>
      <c r="I158" s="4">
        <f t="shared" si="41"/>
        <v>9.5833333333333339</v>
      </c>
      <c r="J158" s="5"/>
      <c r="K158" s="4">
        <v>37</v>
      </c>
      <c r="L158" s="4">
        <f t="shared" si="42"/>
        <v>111</v>
      </c>
      <c r="M158" s="4">
        <f t="shared" si="43"/>
        <v>27.75</v>
      </c>
      <c r="N158" s="4">
        <f t="shared" si="44"/>
        <v>37.333333333333336</v>
      </c>
    </row>
    <row r="159" spans="1:14" x14ac:dyDescent="0.3">
      <c r="A159" s="2">
        <v>13</v>
      </c>
      <c r="B159" s="8" t="s">
        <v>77</v>
      </c>
      <c r="C159" s="4">
        <v>55</v>
      </c>
      <c r="D159" s="4">
        <v>22</v>
      </c>
      <c r="E159" s="4">
        <v>29</v>
      </c>
      <c r="F159" s="5"/>
      <c r="G159" s="6">
        <f t="shared" si="39"/>
        <v>106</v>
      </c>
      <c r="H159" s="4">
        <f t="shared" si="40"/>
        <v>35.333333333333336</v>
      </c>
      <c r="I159" s="4">
        <f t="shared" si="41"/>
        <v>8.8333333333333339</v>
      </c>
      <c r="J159" s="5"/>
      <c r="K159" s="4">
        <v>34</v>
      </c>
      <c r="L159" s="4">
        <f t="shared" si="42"/>
        <v>102</v>
      </c>
      <c r="M159" s="4">
        <f t="shared" si="43"/>
        <v>25.5</v>
      </c>
      <c r="N159" s="4">
        <f t="shared" si="44"/>
        <v>34.333333333333336</v>
      </c>
    </row>
    <row r="160" spans="1:14" x14ac:dyDescent="0.3">
      <c r="A160" s="2">
        <v>14</v>
      </c>
      <c r="B160" s="8" t="s">
        <v>69</v>
      </c>
      <c r="C160" s="4">
        <v>62</v>
      </c>
      <c r="D160" s="4">
        <v>38</v>
      </c>
      <c r="E160" s="4">
        <v>49</v>
      </c>
      <c r="F160" s="5"/>
      <c r="G160" s="6">
        <f t="shared" si="39"/>
        <v>149</v>
      </c>
      <c r="H160" s="4">
        <f t="shared" si="40"/>
        <v>49.666666666666664</v>
      </c>
      <c r="I160" s="4">
        <f t="shared" si="41"/>
        <v>12.416666666666666</v>
      </c>
      <c r="J160" s="5"/>
      <c r="K160" s="4">
        <v>41</v>
      </c>
      <c r="L160" s="4">
        <f t="shared" si="42"/>
        <v>123</v>
      </c>
      <c r="M160" s="4">
        <f t="shared" si="43"/>
        <v>30.75</v>
      </c>
      <c r="N160" s="4">
        <f t="shared" si="44"/>
        <v>43.166666666666664</v>
      </c>
    </row>
    <row r="161" spans="1:15" x14ac:dyDescent="0.3">
      <c r="A161" s="2">
        <v>15</v>
      </c>
      <c r="B161" s="8" t="s">
        <v>65</v>
      </c>
      <c r="C161" s="4">
        <v>83</v>
      </c>
      <c r="D161" s="4">
        <v>81</v>
      </c>
      <c r="E161" s="4">
        <v>83</v>
      </c>
      <c r="F161" s="5"/>
      <c r="G161" s="6">
        <f t="shared" si="39"/>
        <v>247</v>
      </c>
      <c r="H161" s="4">
        <f t="shared" si="40"/>
        <v>82.333333333333329</v>
      </c>
      <c r="I161" s="4">
        <f t="shared" si="41"/>
        <v>20.583333333333332</v>
      </c>
      <c r="J161" s="5"/>
      <c r="K161" s="4">
        <v>83</v>
      </c>
      <c r="L161" s="4">
        <f t="shared" si="42"/>
        <v>249</v>
      </c>
      <c r="M161" s="4">
        <f t="shared" si="43"/>
        <v>62.25</v>
      </c>
      <c r="N161" s="4">
        <f t="shared" si="44"/>
        <v>82.833333333333329</v>
      </c>
    </row>
    <row r="162" spans="1:15" x14ac:dyDescent="0.3">
      <c r="A162" s="2">
        <v>16</v>
      </c>
      <c r="B162" s="8" t="s">
        <v>78</v>
      </c>
      <c r="C162" s="4">
        <v>51</v>
      </c>
      <c r="D162" s="4">
        <v>34</v>
      </c>
      <c r="E162" s="4">
        <v>37</v>
      </c>
      <c r="F162" s="5"/>
      <c r="G162" s="6">
        <f t="shared" si="39"/>
        <v>122</v>
      </c>
      <c r="H162" s="4">
        <f t="shared" si="40"/>
        <v>40.666666666666664</v>
      </c>
      <c r="I162" s="4">
        <f t="shared" si="41"/>
        <v>10.166666666666666</v>
      </c>
      <c r="J162" s="5"/>
      <c r="K162" s="4">
        <v>44</v>
      </c>
      <c r="L162" s="4">
        <f t="shared" si="42"/>
        <v>132</v>
      </c>
      <c r="M162" s="4">
        <f t="shared" si="43"/>
        <v>33</v>
      </c>
      <c r="N162" s="4">
        <f t="shared" si="44"/>
        <v>43.166666666666664</v>
      </c>
    </row>
    <row r="166" spans="1:15" x14ac:dyDescent="0.3">
      <c r="A166" s="63" t="s">
        <v>1</v>
      </c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1:15" x14ac:dyDescent="0.3">
      <c r="A167" s="63" t="s">
        <v>63</v>
      </c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1:15" x14ac:dyDescent="0.3">
      <c r="B168" s="64" t="s">
        <v>47</v>
      </c>
      <c r="C168" s="64"/>
      <c r="D168" s="64"/>
    </row>
    <row r="169" spans="1:15" x14ac:dyDescent="0.3">
      <c r="C169" s="1" t="s">
        <v>4</v>
      </c>
      <c r="D169" s="1" t="s">
        <v>5</v>
      </c>
      <c r="E169" s="1" t="s">
        <v>6</v>
      </c>
      <c r="F169" s="1"/>
      <c r="G169" s="1" t="s">
        <v>7</v>
      </c>
      <c r="H169" s="1" t="s">
        <v>8</v>
      </c>
      <c r="I169" s="3">
        <v>0.25</v>
      </c>
      <c r="J169" s="1"/>
      <c r="K169" s="1" t="s">
        <v>9</v>
      </c>
      <c r="L169" s="1"/>
      <c r="M169" s="3">
        <v>0.75</v>
      </c>
      <c r="N169" s="1" t="s">
        <v>10</v>
      </c>
    </row>
    <row r="170" spans="1:15" x14ac:dyDescent="0.3">
      <c r="A170" s="2">
        <v>1</v>
      </c>
      <c r="B170" s="8" t="s">
        <v>73</v>
      </c>
      <c r="C170" s="4">
        <v>56</v>
      </c>
      <c r="D170" s="4">
        <v>52</v>
      </c>
      <c r="E170" s="4">
        <v>53</v>
      </c>
      <c r="F170" s="5"/>
      <c r="G170" s="6">
        <f>SUM(C170:E170)</f>
        <v>161</v>
      </c>
      <c r="H170" s="4">
        <f>AVERAGE(C170:E170)</f>
        <v>53.666666666666664</v>
      </c>
      <c r="I170" s="4">
        <f>G170/12</f>
        <v>13.416666666666666</v>
      </c>
      <c r="J170" s="5"/>
      <c r="K170" s="4">
        <v>53</v>
      </c>
      <c r="L170" s="4">
        <f>K170*3</f>
        <v>159</v>
      </c>
      <c r="M170" s="4">
        <f>L170/4</f>
        <v>39.75</v>
      </c>
      <c r="N170" s="4">
        <f>M170+I170</f>
        <v>53.166666666666664</v>
      </c>
    </row>
    <row r="171" spans="1:15" x14ac:dyDescent="0.3">
      <c r="A171" s="2">
        <v>2</v>
      </c>
      <c r="B171" s="8" t="s">
        <v>74</v>
      </c>
      <c r="C171" s="4">
        <v>55</v>
      </c>
      <c r="D171" s="4">
        <v>41</v>
      </c>
      <c r="E171" s="4">
        <v>47</v>
      </c>
      <c r="F171" s="5"/>
      <c r="G171" s="6">
        <f t="shared" ref="G171:G185" si="45">SUM(C171:E171)</f>
        <v>143</v>
      </c>
      <c r="H171" s="4">
        <f t="shared" ref="H171:H185" si="46">AVERAGE(C171:E171)</f>
        <v>47.666666666666664</v>
      </c>
      <c r="I171" s="4">
        <f t="shared" ref="I171:I185" si="47">G171/12</f>
        <v>11.916666666666666</v>
      </c>
      <c r="J171" s="5"/>
      <c r="K171" s="4">
        <v>48</v>
      </c>
      <c r="L171" s="4">
        <f t="shared" ref="L171:L185" si="48">K171*3</f>
        <v>144</v>
      </c>
      <c r="M171" s="4">
        <f t="shared" ref="M171:M185" si="49">L171/4</f>
        <v>36</v>
      </c>
      <c r="N171" s="4">
        <f t="shared" ref="N171:N185" si="50">M171+I171</f>
        <v>47.916666666666664</v>
      </c>
    </row>
    <row r="172" spans="1:15" x14ac:dyDescent="0.3">
      <c r="A172" s="2">
        <v>3</v>
      </c>
      <c r="B172" s="8" t="s">
        <v>68</v>
      </c>
      <c r="C172" s="4">
        <v>38</v>
      </c>
      <c r="D172" s="4">
        <v>55</v>
      </c>
      <c r="E172" s="4">
        <v>52</v>
      </c>
      <c r="F172" s="5"/>
      <c r="G172" s="6">
        <f t="shared" si="45"/>
        <v>145</v>
      </c>
      <c r="H172" s="4">
        <f t="shared" si="46"/>
        <v>48.333333333333336</v>
      </c>
      <c r="I172" s="4">
        <f t="shared" si="47"/>
        <v>12.083333333333334</v>
      </c>
      <c r="J172" s="5"/>
      <c r="K172" s="4">
        <v>49</v>
      </c>
      <c r="L172" s="4">
        <f t="shared" si="48"/>
        <v>147</v>
      </c>
      <c r="M172" s="4">
        <f t="shared" si="49"/>
        <v>36.75</v>
      </c>
      <c r="N172" s="4">
        <f t="shared" si="50"/>
        <v>48.833333333333336</v>
      </c>
    </row>
    <row r="173" spans="1:15" x14ac:dyDescent="0.3">
      <c r="A173" s="2">
        <v>4</v>
      </c>
      <c r="B173" s="8" t="s">
        <v>75</v>
      </c>
      <c r="C173" s="4">
        <v>45</v>
      </c>
      <c r="D173" s="4">
        <v>38</v>
      </c>
      <c r="E173" s="4">
        <v>39</v>
      </c>
      <c r="F173" s="5"/>
      <c r="G173" s="6">
        <f t="shared" si="45"/>
        <v>122</v>
      </c>
      <c r="H173" s="4">
        <f t="shared" si="46"/>
        <v>40.666666666666664</v>
      </c>
      <c r="I173" s="4">
        <f t="shared" si="47"/>
        <v>10.166666666666666</v>
      </c>
      <c r="J173" s="5"/>
      <c r="K173" s="4">
        <v>42</v>
      </c>
      <c r="L173" s="4">
        <f t="shared" si="48"/>
        <v>126</v>
      </c>
      <c r="M173" s="4">
        <f t="shared" si="49"/>
        <v>31.5</v>
      </c>
      <c r="N173" s="4">
        <f t="shared" si="50"/>
        <v>41.666666666666664</v>
      </c>
    </row>
    <row r="174" spans="1:15" x14ac:dyDescent="0.3">
      <c r="A174" s="2">
        <v>5</v>
      </c>
      <c r="B174" s="8" t="s">
        <v>64</v>
      </c>
      <c r="C174" s="4">
        <v>56</v>
      </c>
      <c r="D174" s="4">
        <v>83</v>
      </c>
      <c r="E174" s="4">
        <v>80</v>
      </c>
      <c r="F174" s="5"/>
      <c r="G174" s="6">
        <f t="shared" si="45"/>
        <v>219</v>
      </c>
      <c r="H174" s="4">
        <f t="shared" si="46"/>
        <v>73</v>
      </c>
      <c r="I174" s="4">
        <f t="shared" si="47"/>
        <v>18.25</v>
      </c>
      <c r="J174" s="5"/>
      <c r="K174" s="4">
        <v>71</v>
      </c>
      <c r="L174" s="4">
        <f t="shared" si="48"/>
        <v>213</v>
      </c>
      <c r="M174" s="4">
        <f t="shared" si="49"/>
        <v>53.25</v>
      </c>
      <c r="N174" s="4">
        <f t="shared" si="50"/>
        <v>71.5</v>
      </c>
    </row>
    <row r="175" spans="1:15" x14ac:dyDescent="0.3">
      <c r="A175" s="2">
        <v>6</v>
      </c>
      <c r="B175" s="8" t="s">
        <v>66</v>
      </c>
      <c r="C175" s="4">
        <v>69</v>
      </c>
      <c r="D175" s="4">
        <v>55</v>
      </c>
      <c r="E175" s="4">
        <v>62</v>
      </c>
      <c r="F175" s="5"/>
      <c r="G175" s="6">
        <f t="shared" si="45"/>
        <v>186</v>
      </c>
      <c r="H175" s="4">
        <f t="shared" si="46"/>
        <v>62</v>
      </c>
      <c r="I175" s="4">
        <f t="shared" si="47"/>
        <v>15.5</v>
      </c>
      <c r="J175" s="5"/>
      <c r="K175" s="4">
        <v>60</v>
      </c>
      <c r="L175" s="4">
        <f t="shared" si="48"/>
        <v>180</v>
      </c>
      <c r="M175" s="4">
        <f t="shared" si="49"/>
        <v>45</v>
      </c>
      <c r="N175" s="4">
        <f t="shared" si="50"/>
        <v>60.5</v>
      </c>
    </row>
    <row r="176" spans="1:15" x14ac:dyDescent="0.3">
      <c r="A176" s="2">
        <v>7</v>
      </c>
      <c r="B176" s="8" t="s">
        <v>76</v>
      </c>
      <c r="C176" s="4">
        <v>45</v>
      </c>
      <c r="D176" s="4">
        <v>65</v>
      </c>
      <c r="E176" s="4">
        <v>55</v>
      </c>
      <c r="F176" s="5"/>
      <c r="G176" s="6">
        <f t="shared" si="45"/>
        <v>165</v>
      </c>
      <c r="H176" s="4">
        <f t="shared" si="46"/>
        <v>55</v>
      </c>
      <c r="I176" s="4">
        <f t="shared" si="47"/>
        <v>13.75</v>
      </c>
      <c r="J176" s="5"/>
      <c r="K176" s="4">
        <v>59</v>
      </c>
      <c r="L176" s="4">
        <f t="shared" si="48"/>
        <v>177</v>
      </c>
      <c r="M176" s="4">
        <f t="shared" si="49"/>
        <v>44.25</v>
      </c>
      <c r="N176" s="4">
        <f t="shared" si="50"/>
        <v>58</v>
      </c>
    </row>
    <row r="177" spans="1:14" x14ac:dyDescent="0.3">
      <c r="A177" s="2">
        <v>8</v>
      </c>
      <c r="B177" s="8" t="s">
        <v>67</v>
      </c>
      <c r="C177" s="4">
        <v>55</v>
      </c>
      <c r="D177" s="4">
        <v>45</v>
      </c>
      <c r="E177" s="4">
        <v>62</v>
      </c>
      <c r="F177" s="5"/>
      <c r="G177" s="6">
        <f t="shared" si="45"/>
        <v>162</v>
      </c>
      <c r="H177" s="4">
        <f t="shared" si="46"/>
        <v>54</v>
      </c>
      <c r="I177" s="4">
        <f t="shared" si="47"/>
        <v>13.5</v>
      </c>
      <c r="J177" s="5"/>
      <c r="K177" s="4">
        <v>51</v>
      </c>
      <c r="L177" s="4">
        <f t="shared" si="48"/>
        <v>153</v>
      </c>
      <c r="M177" s="4">
        <f t="shared" si="49"/>
        <v>38.25</v>
      </c>
      <c r="N177" s="4">
        <f t="shared" si="50"/>
        <v>51.75</v>
      </c>
    </row>
    <row r="178" spans="1:14" x14ac:dyDescent="0.3">
      <c r="A178" s="2">
        <v>9</v>
      </c>
      <c r="B178" s="8" t="s">
        <v>79</v>
      </c>
      <c r="C178" s="4">
        <v>52</v>
      </c>
      <c r="D178" s="4">
        <v>52</v>
      </c>
      <c r="E178" s="4">
        <v>54</v>
      </c>
      <c r="F178" s="5"/>
      <c r="G178" s="6">
        <f t="shared" si="45"/>
        <v>158</v>
      </c>
      <c r="H178" s="4">
        <f t="shared" si="46"/>
        <v>52.666666666666664</v>
      </c>
      <c r="I178" s="4">
        <f t="shared" si="47"/>
        <v>13.166666666666666</v>
      </c>
      <c r="J178" s="5"/>
      <c r="K178" s="4">
        <v>50</v>
      </c>
      <c r="L178" s="4">
        <f t="shared" si="48"/>
        <v>150</v>
      </c>
      <c r="M178" s="4">
        <f t="shared" si="49"/>
        <v>37.5</v>
      </c>
      <c r="N178" s="4">
        <f t="shared" si="50"/>
        <v>50.666666666666664</v>
      </c>
    </row>
    <row r="179" spans="1:14" x14ac:dyDescent="0.3">
      <c r="A179" s="2">
        <v>10</v>
      </c>
      <c r="B179" s="8" t="s">
        <v>72</v>
      </c>
      <c r="C179" s="4">
        <v>74</v>
      </c>
      <c r="D179" s="4">
        <v>69</v>
      </c>
      <c r="E179" s="4">
        <v>70</v>
      </c>
      <c r="F179" s="5"/>
      <c r="G179" s="6">
        <f t="shared" si="45"/>
        <v>213</v>
      </c>
      <c r="H179" s="4">
        <f t="shared" si="46"/>
        <v>71</v>
      </c>
      <c r="I179" s="4">
        <f t="shared" si="47"/>
        <v>17.75</v>
      </c>
      <c r="J179" s="5"/>
      <c r="K179" s="4">
        <v>72</v>
      </c>
      <c r="L179" s="4">
        <f t="shared" si="48"/>
        <v>216</v>
      </c>
      <c r="M179" s="4">
        <f t="shared" si="49"/>
        <v>54</v>
      </c>
      <c r="N179" s="4">
        <f t="shared" si="50"/>
        <v>71.75</v>
      </c>
    </row>
    <row r="180" spans="1:14" x14ac:dyDescent="0.3">
      <c r="A180" s="2">
        <v>11</v>
      </c>
      <c r="B180" s="8" t="s">
        <v>71</v>
      </c>
      <c r="C180" s="4">
        <v>62</v>
      </c>
      <c r="D180" s="4">
        <v>58</v>
      </c>
      <c r="E180" s="4">
        <v>62</v>
      </c>
      <c r="F180" s="5"/>
      <c r="G180" s="6">
        <f t="shared" si="45"/>
        <v>182</v>
      </c>
      <c r="H180" s="4">
        <f t="shared" si="46"/>
        <v>60.666666666666664</v>
      </c>
      <c r="I180" s="4">
        <f t="shared" si="47"/>
        <v>15.166666666666666</v>
      </c>
      <c r="J180" s="5"/>
      <c r="K180" s="4">
        <v>62</v>
      </c>
      <c r="L180" s="4">
        <f t="shared" si="48"/>
        <v>186</v>
      </c>
      <c r="M180" s="4">
        <f t="shared" si="49"/>
        <v>46.5</v>
      </c>
      <c r="N180" s="4">
        <f t="shared" si="50"/>
        <v>61.666666666666664</v>
      </c>
    </row>
    <row r="181" spans="1:14" x14ac:dyDescent="0.3">
      <c r="A181" s="2">
        <v>12</v>
      </c>
      <c r="B181" s="8" t="s">
        <v>70</v>
      </c>
      <c r="C181" s="4">
        <v>58</v>
      </c>
      <c r="D181" s="4">
        <v>57</v>
      </c>
      <c r="E181" s="4">
        <v>54</v>
      </c>
      <c r="F181" s="5"/>
      <c r="G181" s="6">
        <f t="shared" si="45"/>
        <v>169</v>
      </c>
      <c r="H181" s="4">
        <f t="shared" si="46"/>
        <v>56.333333333333336</v>
      </c>
      <c r="I181" s="4">
        <f t="shared" si="47"/>
        <v>14.083333333333334</v>
      </c>
      <c r="J181" s="5"/>
      <c r="K181" s="4">
        <v>59</v>
      </c>
      <c r="L181" s="4">
        <f t="shared" si="48"/>
        <v>177</v>
      </c>
      <c r="M181" s="4">
        <f t="shared" si="49"/>
        <v>44.25</v>
      </c>
      <c r="N181" s="4">
        <f t="shared" si="50"/>
        <v>58.333333333333336</v>
      </c>
    </row>
    <row r="182" spans="1:14" x14ac:dyDescent="0.3">
      <c r="A182" s="2">
        <v>13</v>
      </c>
      <c r="B182" s="8" t="s">
        <v>77</v>
      </c>
      <c r="C182" s="4">
        <v>65</v>
      </c>
      <c r="D182" s="4">
        <v>58</v>
      </c>
      <c r="E182" s="4">
        <v>52</v>
      </c>
      <c r="F182" s="5"/>
      <c r="G182" s="6">
        <f t="shared" si="45"/>
        <v>175</v>
      </c>
      <c r="H182" s="4">
        <f t="shared" si="46"/>
        <v>58.333333333333336</v>
      </c>
      <c r="I182" s="4">
        <f t="shared" si="47"/>
        <v>14.583333333333334</v>
      </c>
      <c r="J182" s="5"/>
      <c r="K182" s="4">
        <v>58</v>
      </c>
      <c r="L182" s="4">
        <f t="shared" si="48"/>
        <v>174</v>
      </c>
      <c r="M182" s="4">
        <f t="shared" si="49"/>
        <v>43.5</v>
      </c>
      <c r="N182" s="4">
        <f t="shared" si="50"/>
        <v>58.083333333333336</v>
      </c>
    </row>
    <row r="183" spans="1:14" x14ac:dyDescent="0.3">
      <c r="A183" s="2">
        <v>14</v>
      </c>
      <c r="B183" s="8" t="s">
        <v>69</v>
      </c>
      <c r="C183" s="4">
        <v>45</v>
      </c>
      <c r="D183" s="4">
        <v>74</v>
      </c>
      <c r="E183" s="4">
        <v>71</v>
      </c>
      <c r="F183" s="5"/>
      <c r="G183" s="6">
        <f t="shared" si="45"/>
        <v>190</v>
      </c>
      <c r="H183" s="4">
        <f t="shared" si="46"/>
        <v>63.333333333333336</v>
      </c>
      <c r="I183" s="4">
        <f t="shared" si="47"/>
        <v>15.833333333333334</v>
      </c>
      <c r="J183" s="5"/>
      <c r="K183" s="4">
        <v>68</v>
      </c>
      <c r="L183" s="4">
        <f t="shared" si="48"/>
        <v>204</v>
      </c>
      <c r="M183" s="4">
        <f t="shared" si="49"/>
        <v>51</v>
      </c>
      <c r="N183" s="4">
        <f t="shared" si="50"/>
        <v>66.833333333333329</v>
      </c>
    </row>
    <row r="184" spans="1:14" x14ac:dyDescent="0.3">
      <c r="A184" s="2">
        <v>15</v>
      </c>
      <c r="B184" s="8" t="s">
        <v>65</v>
      </c>
      <c r="C184" s="4">
        <v>85</v>
      </c>
      <c r="D184" s="4">
        <v>85</v>
      </c>
      <c r="E184" s="4">
        <v>86</v>
      </c>
      <c r="F184" s="5"/>
      <c r="G184" s="6">
        <f t="shared" si="45"/>
        <v>256</v>
      </c>
      <c r="H184" s="4">
        <f t="shared" si="46"/>
        <v>85.333333333333329</v>
      </c>
      <c r="I184" s="4">
        <f t="shared" si="47"/>
        <v>21.333333333333332</v>
      </c>
      <c r="J184" s="5"/>
      <c r="K184" s="4">
        <v>89</v>
      </c>
      <c r="L184" s="4">
        <f t="shared" si="48"/>
        <v>267</v>
      </c>
      <c r="M184" s="4">
        <f t="shared" si="49"/>
        <v>66.75</v>
      </c>
      <c r="N184" s="4">
        <f t="shared" si="50"/>
        <v>88.083333333333329</v>
      </c>
    </row>
    <row r="185" spans="1:14" x14ac:dyDescent="0.3">
      <c r="A185" s="2">
        <v>16</v>
      </c>
      <c r="B185" s="8" t="s">
        <v>78</v>
      </c>
      <c r="C185" s="4">
        <v>65</v>
      </c>
      <c r="D185" s="4">
        <v>66</v>
      </c>
      <c r="E185" s="4">
        <v>69</v>
      </c>
      <c r="F185" s="5"/>
      <c r="G185" s="6">
        <f t="shared" si="45"/>
        <v>200</v>
      </c>
      <c r="H185" s="4">
        <f t="shared" si="46"/>
        <v>66.666666666666671</v>
      </c>
      <c r="I185" s="4">
        <f t="shared" si="47"/>
        <v>16.666666666666668</v>
      </c>
      <c r="J185" s="5"/>
      <c r="K185" s="4">
        <v>65</v>
      </c>
      <c r="L185" s="4">
        <f t="shared" si="48"/>
        <v>195</v>
      </c>
      <c r="M185" s="4">
        <f t="shared" si="49"/>
        <v>48.75</v>
      </c>
      <c r="N185" s="4">
        <f t="shared" si="50"/>
        <v>65.416666666666671</v>
      </c>
    </row>
  </sheetData>
  <sortState ref="B6:B21">
    <sortCondition ref="B6"/>
  </sortState>
  <mergeCells count="28">
    <mergeCell ref="A167:O167"/>
    <mergeCell ref="B168:D168"/>
    <mergeCell ref="A142:O142"/>
    <mergeCell ref="A143:O143"/>
    <mergeCell ref="A144:O144"/>
    <mergeCell ref="B145:D145"/>
    <mergeCell ref="A166:O166"/>
    <mergeCell ref="B4:D4"/>
    <mergeCell ref="A1:O1"/>
    <mergeCell ref="A2:O2"/>
    <mergeCell ref="A3:O3"/>
    <mergeCell ref="A25:O25"/>
    <mergeCell ref="A26:O26"/>
    <mergeCell ref="B27:D27"/>
    <mergeCell ref="A48:O48"/>
    <mergeCell ref="A49:O49"/>
    <mergeCell ref="A50:O50"/>
    <mergeCell ref="B121:D121"/>
    <mergeCell ref="B51:D51"/>
    <mergeCell ref="A95:O95"/>
    <mergeCell ref="A96:O96"/>
    <mergeCell ref="A97:O97"/>
    <mergeCell ref="B98:D98"/>
    <mergeCell ref="A72:O72"/>
    <mergeCell ref="A73:O73"/>
    <mergeCell ref="B74:D74"/>
    <mergeCell ref="A119:O119"/>
    <mergeCell ref="A120:O120"/>
  </mergeCells>
  <printOptions gridLines="1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"/>
  <sheetViews>
    <sheetView workbookViewId="0">
      <selection sqref="A1:D5"/>
    </sheetView>
  </sheetViews>
  <sheetFormatPr defaultRowHeight="14.4" x14ac:dyDescent="0.3"/>
  <cols>
    <col min="1" max="1" width="2.5546875" style="19" customWidth="1"/>
    <col min="2" max="2" width="10.6640625" style="24" customWidth="1"/>
    <col min="3" max="27" width="2.6640625" style="24" customWidth="1"/>
    <col min="28" max="28" width="4.33203125" style="33" customWidth="1"/>
    <col min="29" max="29" width="0.6640625" customWidth="1"/>
    <col min="30" max="30" width="3.88671875" style="24" customWidth="1"/>
  </cols>
  <sheetData>
    <row r="1" spans="1:30" x14ac:dyDescent="0.3">
      <c r="A1" s="65" t="s">
        <v>186</v>
      </c>
      <c r="B1" s="65"/>
      <c r="C1" s="65"/>
      <c r="D1" s="65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65"/>
      <c r="B2" s="65"/>
      <c r="C2" s="65"/>
      <c r="D2" s="65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x14ac:dyDescent="0.3">
      <c r="A3" s="65"/>
      <c r="B3" s="65"/>
      <c r="C3" s="65"/>
      <c r="D3" s="65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0" x14ac:dyDescent="0.3">
      <c r="A4" s="65"/>
      <c r="B4" s="65"/>
      <c r="C4" s="65"/>
      <c r="D4" s="65"/>
      <c r="E4" s="66" t="s">
        <v>187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0" x14ac:dyDescent="0.3">
      <c r="A5" s="65"/>
      <c r="B5" s="65"/>
      <c r="C5" s="65"/>
      <c r="D5" s="65"/>
      <c r="N5" s="38"/>
      <c r="O5" s="17"/>
      <c r="AB5" s="30"/>
      <c r="AC5" s="11"/>
      <c r="AD5" s="28"/>
    </row>
    <row r="6" spans="1:30" ht="123.6" x14ac:dyDescent="0.3">
      <c r="A6" s="20" t="s">
        <v>171</v>
      </c>
      <c r="B6" s="34" t="s">
        <v>172</v>
      </c>
      <c r="C6" s="39" t="s">
        <v>3</v>
      </c>
      <c r="D6" s="39" t="s">
        <v>19</v>
      </c>
      <c r="E6" s="39" t="s">
        <v>163</v>
      </c>
      <c r="F6" s="39" t="s">
        <v>20</v>
      </c>
      <c r="G6" s="39" t="s">
        <v>174</v>
      </c>
      <c r="H6" s="39" t="s">
        <v>168</v>
      </c>
      <c r="I6" s="39" t="s">
        <v>159</v>
      </c>
      <c r="J6" s="39" t="s">
        <v>140</v>
      </c>
      <c r="K6" s="39" t="s">
        <v>160</v>
      </c>
      <c r="L6" s="39" t="s">
        <v>21</v>
      </c>
      <c r="M6" s="39" t="s">
        <v>22</v>
      </c>
      <c r="N6" s="39" t="s">
        <v>169</v>
      </c>
      <c r="O6" s="39" t="s">
        <v>46</v>
      </c>
      <c r="P6" s="39" t="s">
        <v>23</v>
      </c>
      <c r="Q6" s="39" t="s">
        <v>24</v>
      </c>
      <c r="R6" s="39" t="s">
        <v>109</v>
      </c>
      <c r="S6" s="39" t="s">
        <v>123</v>
      </c>
      <c r="T6" s="39" t="s">
        <v>124</v>
      </c>
      <c r="U6" s="39" t="s">
        <v>173</v>
      </c>
      <c r="V6" s="39" t="s">
        <v>131</v>
      </c>
      <c r="W6" s="39" t="s">
        <v>179</v>
      </c>
      <c r="X6" s="39" t="s">
        <v>164</v>
      </c>
      <c r="Y6" s="39" t="s">
        <v>141</v>
      </c>
      <c r="Z6" s="39" t="s">
        <v>165</v>
      </c>
      <c r="AA6" s="39" t="s">
        <v>47</v>
      </c>
      <c r="AB6" s="31" t="s">
        <v>166</v>
      </c>
      <c r="AC6" s="12"/>
      <c r="AD6" s="29" t="s">
        <v>167</v>
      </c>
    </row>
    <row r="7" spans="1:30" x14ac:dyDescent="0.3">
      <c r="N7" s="38"/>
      <c r="O7" s="17"/>
      <c r="AB7" s="30"/>
      <c r="AC7" s="11"/>
      <c r="AD7" s="28"/>
    </row>
    <row r="8" spans="1:30" x14ac:dyDescent="0.3">
      <c r="A8" s="7">
        <v>1</v>
      </c>
      <c r="B8" s="21" t="s">
        <v>28</v>
      </c>
      <c r="C8" s="41">
        <v>92.333333333333329</v>
      </c>
      <c r="D8" s="41">
        <v>98</v>
      </c>
      <c r="E8" s="41">
        <v>96.666666666666671</v>
      </c>
      <c r="F8" s="41"/>
      <c r="G8" s="40"/>
      <c r="H8" s="40"/>
      <c r="I8" s="40"/>
      <c r="J8" s="40"/>
      <c r="K8" s="40"/>
      <c r="L8" s="41">
        <v>93.333333333333329</v>
      </c>
      <c r="M8" s="41">
        <v>99</v>
      </c>
      <c r="N8" s="41"/>
      <c r="O8" s="41">
        <v>93.333333333333329</v>
      </c>
      <c r="P8" s="41">
        <v>97.666666666666671</v>
      </c>
      <c r="Q8" s="41"/>
      <c r="R8" s="41"/>
      <c r="S8" s="40"/>
      <c r="T8" s="40"/>
      <c r="U8" s="41"/>
      <c r="V8" s="40"/>
      <c r="W8" s="40"/>
      <c r="X8" s="41"/>
      <c r="Y8" s="40"/>
      <c r="Z8" s="41">
        <v>91.666666666666671</v>
      </c>
      <c r="AA8" s="41">
        <v>98.666666666666671</v>
      </c>
      <c r="AB8" s="32">
        <f t="shared" ref="AB8:AB39" si="0">SUM(C8:AA8)</f>
        <v>860.66666666666652</v>
      </c>
      <c r="AC8" s="18"/>
      <c r="AD8" s="13">
        <f t="shared" ref="AD8:AD39" si="1">AVERAGE(C8:AA8)</f>
        <v>95.629629629629619</v>
      </c>
    </row>
    <row r="9" spans="1:30" x14ac:dyDescent="0.3">
      <c r="A9" s="7">
        <v>2</v>
      </c>
      <c r="B9" s="22" t="s">
        <v>125</v>
      </c>
      <c r="C9" s="41">
        <v>95</v>
      </c>
      <c r="D9" s="41">
        <v>96.333333333333329</v>
      </c>
      <c r="E9" s="41">
        <v>89.666666666666671</v>
      </c>
      <c r="F9" s="40"/>
      <c r="G9" s="40"/>
      <c r="H9" s="41">
        <v>92</v>
      </c>
      <c r="I9" s="40"/>
      <c r="J9" s="40"/>
      <c r="K9" s="40"/>
      <c r="L9" s="41">
        <v>91</v>
      </c>
      <c r="M9" s="41">
        <v>89.666666666666671</v>
      </c>
      <c r="N9" s="40"/>
      <c r="O9" s="41"/>
      <c r="P9" s="41"/>
      <c r="Q9" s="40"/>
      <c r="R9" s="40"/>
      <c r="S9" s="41"/>
      <c r="T9" s="41"/>
      <c r="U9" s="40"/>
      <c r="V9" s="41">
        <v>99.333333333333329</v>
      </c>
      <c r="W9" s="40"/>
      <c r="X9" s="40"/>
      <c r="Y9" s="40"/>
      <c r="Z9" s="41">
        <v>85</v>
      </c>
      <c r="AA9" s="41"/>
      <c r="AB9" s="32">
        <f t="shared" si="0"/>
        <v>738</v>
      </c>
      <c r="AC9" s="18"/>
      <c r="AD9" s="13">
        <f t="shared" si="1"/>
        <v>92.25</v>
      </c>
    </row>
    <row r="10" spans="1:30" x14ac:dyDescent="0.3">
      <c r="A10" s="7">
        <v>3</v>
      </c>
      <c r="B10" s="22" t="s">
        <v>12</v>
      </c>
      <c r="C10" s="41">
        <v>87</v>
      </c>
      <c r="D10" s="41">
        <v>99.333333333333329</v>
      </c>
      <c r="E10" s="41"/>
      <c r="F10" s="41">
        <v>87.666666666666671</v>
      </c>
      <c r="G10" s="40"/>
      <c r="H10" s="41"/>
      <c r="I10" s="41"/>
      <c r="J10" s="40"/>
      <c r="K10" s="41"/>
      <c r="L10" s="41">
        <v>90.666666666666671</v>
      </c>
      <c r="M10" s="41">
        <v>97.666666666666671</v>
      </c>
      <c r="N10" s="41"/>
      <c r="O10" s="41"/>
      <c r="P10" s="41">
        <v>92</v>
      </c>
      <c r="Q10" s="40">
        <v>91.666666666666671</v>
      </c>
      <c r="R10" s="40"/>
      <c r="S10" s="40"/>
      <c r="T10" s="40"/>
      <c r="U10" s="41">
        <v>85.666666666666671</v>
      </c>
      <c r="V10" s="40"/>
      <c r="W10" s="41"/>
      <c r="X10" s="40"/>
      <c r="Y10" s="40"/>
      <c r="Z10" s="41">
        <v>93.666666666666671</v>
      </c>
      <c r="AA10" s="41"/>
      <c r="AB10" s="32">
        <f t="shared" si="0"/>
        <v>825.33333333333326</v>
      </c>
      <c r="AC10" s="18"/>
      <c r="AD10" s="13">
        <f t="shared" si="1"/>
        <v>91.703703703703695</v>
      </c>
    </row>
    <row r="11" spans="1:30" x14ac:dyDescent="0.3">
      <c r="A11" s="7">
        <v>4</v>
      </c>
      <c r="B11" s="21" t="s">
        <v>11</v>
      </c>
      <c r="C11" s="41">
        <v>87.333333333333329</v>
      </c>
      <c r="D11" s="41">
        <v>96.666666666666671</v>
      </c>
      <c r="E11" s="41"/>
      <c r="F11" s="41">
        <v>91.666666666666671</v>
      </c>
      <c r="G11" s="41"/>
      <c r="H11" s="41"/>
      <c r="I11" s="40"/>
      <c r="J11" s="40"/>
      <c r="K11" s="40"/>
      <c r="L11" s="41">
        <v>93</v>
      </c>
      <c r="M11" s="41">
        <v>94.666666666666671</v>
      </c>
      <c r="N11" s="41"/>
      <c r="O11" s="41"/>
      <c r="P11" s="41">
        <v>92.333333333333329</v>
      </c>
      <c r="Q11" s="40">
        <v>87</v>
      </c>
      <c r="R11" s="41"/>
      <c r="S11" s="40"/>
      <c r="T11" s="40"/>
      <c r="U11" s="41">
        <v>88.666666666666671</v>
      </c>
      <c r="V11" s="40"/>
      <c r="W11" s="40"/>
      <c r="X11" s="41"/>
      <c r="Y11" s="40"/>
      <c r="Z11" s="41">
        <v>88.666666666666671</v>
      </c>
      <c r="AA11" s="41"/>
      <c r="AB11" s="32">
        <f t="shared" si="0"/>
        <v>820</v>
      </c>
      <c r="AC11" s="18"/>
      <c r="AD11" s="13">
        <f t="shared" si="1"/>
        <v>91.111111111111114</v>
      </c>
    </row>
    <row r="12" spans="1:30" x14ac:dyDescent="0.3">
      <c r="A12" s="7">
        <v>5</v>
      </c>
      <c r="B12" s="22" t="s">
        <v>49</v>
      </c>
      <c r="C12" s="41">
        <v>87</v>
      </c>
      <c r="D12" s="41">
        <v>94</v>
      </c>
      <c r="E12" s="41">
        <v>94</v>
      </c>
      <c r="F12" s="41"/>
      <c r="G12" s="40"/>
      <c r="H12" s="41"/>
      <c r="I12" s="41"/>
      <c r="J12" s="40"/>
      <c r="K12" s="41"/>
      <c r="L12" s="41">
        <v>90.666666666666671</v>
      </c>
      <c r="M12" s="41">
        <v>91.333333333333329</v>
      </c>
      <c r="N12" s="41"/>
      <c r="O12" s="41"/>
      <c r="P12" s="41"/>
      <c r="Q12" s="40"/>
      <c r="R12" s="40"/>
      <c r="S12" s="40"/>
      <c r="T12" s="40"/>
      <c r="U12" s="41">
        <v>81.333333333333329</v>
      </c>
      <c r="V12" s="40"/>
      <c r="W12" s="41"/>
      <c r="X12" s="40">
        <v>90.666666666666671</v>
      </c>
      <c r="Y12" s="40"/>
      <c r="Z12" s="41">
        <v>88</v>
      </c>
      <c r="AA12" s="41"/>
      <c r="AB12" s="32">
        <f t="shared" si="0"/>
        <v>717</v>
      </c>
      <c r="AC12" s="18"/>
      <c r="AD12" s="13">
        <f t="shared" si="1"/>
        <v>89.625</v>
      </c>
    </row>
    <row r="13" spans="1:30" x14ac:dyDescent="0.3">
      <c r="A13" s="7">
        <v>6</v>
      </c>
      <c r="B13" s="22" t="s">
        <v>31</v>
      </c>
      <c r="C13" s="41">
        <v>82.666666666666671</v>
      </c>
      <c r="D13" s="41">
        <v>95.666666666666671</v>
      </c>
      <c r="E13" s="41">
        <v>91</v>
      </c>
      <c r="F13" s="41"/>
      <c r="G13" s="41"/>
      <c r="H13" s="41"/>
      <c r="I13" s="41"/>
      <c r="J13" s="41"/>
      <c r="K13" s="41"/>
      <c r="L13" s="41">
        <v>86.333333333333329</v>
      </c>
      <c r="M13" s="41">
        <v>90</v>
      </c>
      <c r="N13" s="41"/>
      <c r="O13" s="41">
        <v>95.333333333333329</v>
      </c>
      <c r="P13" s="41">
        <v>85</v>
      </c>
      <c r="Q13" s="41"/>
      <c r="R13" s="41"/>
      <c r="S13" s="41"/>
      <c r="T13" s="41"/>
      <c r="U13" s="41"/>
      <c r="V13" s="41"/>
      <c r="W13" s="41"/>
      <c r="X13" s="41"/>
      <c r="Y13" s="41"/>
      <c r="Z13" s="41">
        <v>85</v>
      </c>
      <c r="AA13" s="41">
        <v>94.333333333333329</v>
      </c>
      <c r="AB13" s="32">
        <f t="shared" si="0"/>
        <v>805.33333333333337</v>
      </c>
      <c r="AC13" s="18"/>
      <c r="AD13" s="13">
        <f t="shared" si="1"/>
        <v>89.481481481481481</v>
      </c>
    </row>
    <row r="14" spans="1:30" x14ac:dyDescent="0.3">
      <c r="A14" s="7">
        <v>7</v>
      </c>
      <c r="B14" s="22" t="s">
        <v>13</v>
      </c>
      <c r="C14" s="41">
        <v>86.666666666666671</v>
      </c>
      <c r="D14" s="41">
        <v>95.333333333333329</v>
      </c>
      <c r="E14" s="41"/>
      <c r="F14" s="41">
        <v>84.666666666666671</v>
      </c>
      <c r="G14" s="41"/>
      <c r="H14" s="41"/>
      <c r="I14" s="41"/>
      <c r="J14" s="41"/>
      <c r="K14" s="41"/>
      <c r="L14" s="41">
        <v>96.333333333333329</v>
      </c>
      <c r="M14" s="41">
        <v>96</v>
      </c>
      <c r="N14" s="41"/>
      <c r="O14" s="41"/>
      <c r="P14" s="41">
        <v>86.666666666666671</v>
      </c>
      <c r="Q14" s="41">
        <v>82.666666666666671</v>
      </c>
      <c r="R14" s="41"/>
      <c r="S14" s="41"/>
      <c r="T14" s="41"/>
      <c r="U14" s="41">
        <v>84.333333333333329</v>
      </c>
      <c r="V14" s="41"/>
      <c r="W14" s="41"/>
      <c r="X14" s="41"/>
      <c r="Y14" s="41"/>
      <c r="Z14" s="41">
        <v>89</v>
      </c>
      <c r="AA14" s="41"/>
      <c r="AB14" s="32">
        <f t="shared" si="0"/>
        <v>801.66666666666663</v>
      </c>
      <c r="AC14" s="18"/>
      <c r="AD14" s="13">
        <f t="shared" si="1"/>
        <v>89.074074074074076</v>
      </c>
    </row>
    <row r="15" spans="1:30" x14ac:dyDescent="0.3">
      <c r="A15" s="7">
        <v>8</v>
      </c>
      <c r="B15" s="22" t="s">
        <v>29</v>
      </c>
      <c r="C15" s="41">
        <v>83.666666666666671</v>
      </c>
      <c r="D15" s="41">
        <v>97.333333333333329</v>
      </c>
      <c r="E15" s="41">
        <v>89.333333333333329</v>
      </c>
      <c r="F15" s="41"/>
      <c r="G15" s="41"/>
      <c r="H15" s="41"/>
      <c r="I15" s="40"/>
      <c r="J15" s="40"/>
      <c r="K15" s="40"/>
      <c r="L15" s="41">
        <v>86.666666666666671</v>
      </c>
      <c r="M15" s="41">
        <v>89.666666666666671</v>
      </c>
      <c r="N15" s="41"/>
      <c r="O15" s="40">
        <v>88.666666666666671</v>
      </c>
      <c r="P15" s="40">
        <v>82.333333333333329</v>
      </c>
      <c r="Q15" s="40"/>
      <c r="R15" s="41"/>
      <c r="S15" s="40"/>
      <c r="T15" s="40"/>
      <c r="U15" s="41"/>
      <c r="V15" s="40"/>
      <c r="W15" s="40"/>
      <c r="X15" s="41"/>
      <c r="Y15" s="40"/>
      <c r="Z15" s="41">
        <v>87</v>
      </c>
      <c r="AA15" s="41">
        <v>93.666666666666671</v>
      </c>
      <c r="AB15" s="32">
        <f t="shared" si="0"/>
        <v>798.33333333333337</v>
      </c>
      <c r="AC15" s="18"/>
      <c r="AD15" s="13">
        <f t="shared" si="1"/>
        <v>88.703703703703709</v>
      </c>
    </row>
    <row r="16" spans="1:30" x14ac:dyDescent="0.3">
      <c r="A16" s="7">
        <v>9</v>
      </c>
      <c r="B16" s="22" t="s">
        <v>30</v>
      </c>
      <c r="C16" s="41">
        <v>83</v>
      </c>
      <c r="D16" s="41">
        <v>92.666666666666671</v>
      </c>
      <c r="E16" s="41">
        <v>93.333333333333329</v>
      </c>
      <c r="F16" s="41"/>
      <c r="G16" s="41"/>
      <c r="H16" s="41"/>
      <c r="I16" s="41"/>
      <c r="J16" s="40"/>
      <c r="K16" s="41"/>
      <c r="L16" s="41">
        <v>91.333333333333329</v>
      </c>
      <c r="M16" s="41">
        <v>89.666666666666671</v>
      </c>
      <c r="N16" s="41"/>
      <c r="O16" s="40">
        <v>87</v>
      </c>
      <c r="P16" s="40">
        <v>80</v>
      </c>
      <c r="Q16" s="40"/>
      <c r="R16" s="41"/>
      <c r="S16" s="40"/>
      <c r="T16" s="40"/>
      <c r="U16" s="41"/>
      <c r="V16" s="40"/>
      <c r="W16" s="41"/>
      <c r="X16" s="41"/>
      <c r="Y16" s="40"/>
      <c r="Z16" s="41">
        <v>83</v>
      </c>
      <c r="AA16" s="41">
        <v>94.666666666666671</v>
      </c>
      <c r="AB16" s="32">
        <f t="shared" si="0"/>
        <v>794.66666666666663</v>
      </c>
      <c r="AC16" s="18"/>
      <c r="AD16" s="13">
        <f t="shared" si="1"/>
        <v>88.296296296296291</v>
      </c>
    </row>
    <row r="17" spans="1:30" x14ac:dyDescent="0.3">
      <c r="A17" s="7">
        <v>9</v>
      </c>
      <c r="B17" s="22" t="s">
        <v>114</v>
      </c>
      <c r="C17" s="41">
        <v>81.666666666666671</v>
      </c>
      <c r="D17" s="41">
        <v>92.666666666666671</v>
      </c>
      <c r="E17" s="41"/>
      <c r="F17" s="41"/>
      <c r="G17" s="41"/>
      <c r="H17" s="41">
        <v>84</v>
      </c>
      <c r="I17" s="41"/>
      <c r="J17" s="41"/>
      <c r="K17" s="41"/>
      <c r="L17" s="41">
        <v>86</v>
      </c>
      <c r="M17" s="41">
        <v>83.333333333333329</v>
      </c>
      <c r="N17" s="41"/>
      <c r="O17" s="41"/>
      <c r="P17" s="41"/>
      <c r="Q17" s="41"/>
      <c r="R17" s="41"/>
      <c r="S17" s="41">
        <v>94.666666666666671</v>
      </c>
      <c r="T17" s="41">
        <v>91.333333333333329</v>
      </c>
      <c r="U17" s="41"/>
      <c r="V17" s="41"/>
      <c r="W17" s="41"/>
      <c r="X17" s="41"/>
      <c r="Y17" s="41"/>
      <c r="Z17" s="41"/>
      <c r="AA17" s="41">
        <v>92.666666666666671</v>
      </c>
      <c r="AB17" s="32">
        <f t="shared" si="0"/>
        <v>706.33333333333337</v>
      </c>
      <c r="AC17" s="18"/>
      <c r="AD17" s="13">
        <f t="shared" si="1"/>
        <v>88.291666666666671</v>
      </c>
    </row>
    <row r="18" spans="1:30" x14ac:dyDescent="0.3">
      <c r="A18" s="7">
        <v>11</v>
      </c>
      <c r="B18" s="22" t="s">
        <v>126</v>
      </c>
      <c r="C18" s="41">
        <v>77.666666666666671</v>
      </c>
      <c r="D18" s="41">
        <v>97.666666666666671</v>
      </c>
      <c r="E18" s="41">
        <v>86</v>
      </c>
      <c r="F18" s="41"/>
      <c r="G18" s="40"/>
      <c r="H18" s="41">
        <v>97.666666666666671</v>
      </c>
      <c r="I18" s="40"/>
      <c r="J18" s="40"/>
      <c r="K18" s="40"/>
      <c r="L18" s="41">
        <v>82</v>
      </c>
      <c r="M18" s="41">
        <v>86.333333333333329</v>
      </c>
      <c r="N18" s="41"/>
      <c r="O18" s="41"/>
      <c r="P18" s="41"/>
      <c r="Q18" s="41"/>
      <c r="R18" s="41"/>
      <c r="S18" s="40"/>
      <c r="T18" s="40"/>
      <c r="U18" s="41"/>
      <c r="V18" s="40">
        <v>92.666666666666671</v>
      </c>
      <c r="W18" s="40"/>
      <c r="X18" s="41"/>
      <c r="Y18" s="40"/>
      <c r="Z18" s="41">
        <v>80.666666666666671</v>
      </c>
      <c r="AA18" s="41"/>
      <c r="AB18" s="32">
        <f t="shared" si="0"/>
        <v>700.66666666666663</v>
      </c>
      <c r="AC18" s="18"/>
      <c r="AD18" s="13">
        <f t="shared" si="1"/>
        <v>87.583333333333329</v>
      </c>
    </row>
    <row r="19" spans="1:30" x14ac:dyDescent="0.3">
      <c r="A19" s="7">
        <v>12</v>
      </c>
      <c r="B19" s="22" t="s">
        <v>50</v>
      </c>
      <c r="C19" s="41">
        <v>87.333333333333329</v>
      </c>
      <c r="D19" s="41">
        <v>93.666666666666671</v>
      </c>
      <c r="E19" s="41">
        <v>87.666666666666671</v>
      </c>
      <c r="F19" s="40"/>
      <c r="G19" s="41"/>
      <c r="H19" s="41"/>
      <c r="I19" s="40"/>
      <c r="J19" s="40"/>
      <c r="K19" s="40"/>
      <c r="L19" s="41">
        <v>81</v>
      </c>
      <c r="M19" s="41">
        <v>86.666666666666671</v>
      </c>
      <c r="N19" s="41"/>
      <c r="O19" s="41"/>
      <c r="P19" s="41"/>
      <c r="Q19" s="40"/>
      <c r="R19" s="41"/>
      <c r="S19" s="40"/>
      <c r="T19" s="40"/>
      <c r="U19" s="40">
        <v>76</v>
      </c>
      <c r="V19" s="40"/>
      <c r="W19" s="40"/>
      <c r="X19" s="40">
        <v>86</v>
      </c>
      <c r="Y19" s="40"/>
      <c r="Z19" s="41">
        <v>84.333333333333329</v>
      </c>
      <c r="AA19" s="41"/>
      <c r="AB19" s="32">
        <f t="shared" si="0"/>
        <v>682.66666666666674</v>
      </c>
      <c r="AC19" s="18"/>
      <c r="AD19" s="13">
        <f t="shared" si="1"/>
        <v>85.333333333333343</v>
      </c>
    </row>
    <row r="20" spans="1:30" x14ac:dyDescent="0.3">
      <c r="A20" s="7">
        <v>13</v>
      </c>
      <c r="B20" s="22" t="s">
        <v>93</v>
      </c>
      <c r="C20" s="41">
        <v>81.666666666666671</v>
      </c>
      <c r="D20" s="41">
        <v>87</v>
      </c>
      <c r="E20" s="41"/>
      <c r="F20" s="40"/>
      <c r="G20" s="41">
        <v>83.333333333333329</v>
      </c>
      <c r="H20" s="41">
        <v>78</v>
      </c>
      <c r="I20" s="40"/>
      <c r="J20" s="40"/>
      <c r="K20" s="40"/>
      <c r="L20" s="41">
        <v>80.666666666666671</v>
      </c>
      <c r="M20" s="41"/>
      <c r="N20" s="41">
        <v>88.333333333333329</v>
      </c>
      <c r="O20" s="41"/>
      <c r="P20" s="41"/>
      <c r="Q20" s="40"/>
      <c r="R20" s="41">
        <v>88.333333333333329</v>
      </c>
      <c r="S20" s="40"/>
      <c r="T20" s="40"/>
      <c r="U20" s="41"/>
      <c r="V20" s="40"/>
      <c r="W20" s="40"/>
      <c r="X20" s="41"/>
      <c r="Y20" s="40"/>
      <c r="Z20" s="41"/>
      <c r="AA20" s="41">
        <v>83</v>
      </c>
      <c r="AB20" s="32">
        <f t="shared" si="0"/>
        <v>670.33333333333337</v>
      </c>
      <c r="AC20" s="18"/>
      <c r="AD20" s="13">
        <f t="shared" si="1"/>
        <v>83.791666666666671</v>
      </c>
    </row>
    <row r="21" spans="1:30" x14ac:dyDescent="0.3">
      <c r="A21" s="7">
        <v>14</v>
      </c>
      <c r="B21" s="22" t="s">
        <v>14</v>
      </c>
      <c r="C21" s="41">
        <v>92.333333333333329</v>
      </c>
      <c r="D21" s="41">
        <v>93.333333333333329</v>
      </c>
      <c r="E21" s="40"/>
      <c r="F21" s="41">
        <v>79.333333333333329</v>
      </c>
      <c r="G21" s="41"/>
      <c r="H21" s="41"/>
      <c r="I21" s="41"/>
      <c r="J21" s="40"/>
      <c r="K21" s="41"/>
      <c r="L21" s="41">
        <v>85.666666666666671</v>
      </c>
      <c r="M21" s="41">
        <v>84</v>
      </c>
      <c r="N21" s="41"/>
      <c r="O21" s="40"/>
      <c r="P21" s="40">
        <v>76.666666666666671</v>
      </c>
      <c r="Q21" s="40">
        <v>75.333333333333329</v>
      </c>
      <c r="R21" s="41"/>
      <c r="S21" s="40"/>
      <c r="T21" s="40"/>
      <c r="U21" s="41">
        <v>80</v>
      </c>
      <c r="V21" s="40"/>
      <c r="W21" s="41"/>
      <c r="X21" s="40"/>
      <c r="Y21" s="40"/>
      <c r="Z21" s="40">
        <v>83</v>
      </c>
      <c r="AA21" s="41"/>
      <c r="AB21" s="32">
        <f t="shared" si="0"/>
        <v>749.66666666666674</v>
      </c>
      <c r="AC21" s="18"/>
      <c r="AD21" s="13">
        <f t="shared" si="1"/>
        <v>83.296296296296305</v>
      </c>
    </row>
    <row r="22" spans="1:30" x14ac:dyDescent="0.3">
      <c r="A22" s="7">
        <v>15</v>
      </c>
      <c r="B22" s="22" t="s">
        <v>52</v>
      </c>
      <c r="C22" s="41">
        <v>82</v>
      </c>
      <c r="D22" s="41">
        <v>94.666666666666671</v>
      </c>
      <c r="E22" s="40">
        <v>88</v>
      </c>
      <c r="F22" s="41"/>
      <c r="G22" s="41"/>
      <c r="H22" s="41"/>
      <c r="I22" s="40"/>
      <c r="J22" s="40"/>
      <c r="K22" s="40"/>
      <c r="L22" s="41">
        <v>85.333333333333329</v>
      </c>
      <c r="M22" s="41">
        <v>82.333333333333329</v>
      </c>
      <c r="N22" s="41"/>
      <c r="O22" s="41"/>
      <c r="P22" s="40"/>
      <c r="Q22" s="41"/>
      <c r="R22" s="41"/>
      <c r="S22" s="41"/>
      <c r="T22" s="41"/>
      <c r="U22" s="40">
        <v>74.666666666666671</v>
      </c>
      <c r="V22" s="40"/>
      <c r="W22" s="40"/>
      <c r="X22" s="40">
        <v>81</v>
      </c>
      <c r="Y22" s="40"/>
      <c r="Z22" s="40">
        <v>76</v>
      </c>
      <c r="AA22" s="41"/>
      <c r="AB22" s="32">
        <f t="shared" si="0"/>
        <v>664</v>
      </c>
      <c r="AC22" s="18"/>
      <c r="AD22" s="13">
        <f t="shared" si="1"/>
        <v>83</v>
      </c>
    </row>
    <row r="23" spans="1:30" x14ac:dyDescent="0.3">
      <c r="A23" s="7">
        <v>16</v>
      </c>
      <c r="B23" s="22" t="s">
        <v>86</v>
      </c>
      <c r="C23" s="41">
        <v>76</v>
      </c>
      <c r="D23" s="41">
        <v>87.333333333333329</v>
      </c>
      <c r="E23" s="41"/>
      <c r="F23" s="41"/>
      <c r="G23" s="41">
        <v>82.666666666666671</v>
      </c>
      <c r="H23" s="41">
        <v>75.333333333333329</v>
      </c>
      <c r="I23" s="40"/>
      <c r="J23" s="40"/>
      <c r="K23" s="41"/>
      <c r="L23" s="41">
        <v>76</v>
      </c>
      <c r="M23" s="41"/>
      <c r="N23" s="41">
        <v>91.333333333333329</v>
      </c>
      <c r="O23" s="41"/>
      <c r="P23" s="41"/>
      <c r="Q23" s="41"/>
      <c r="R23" s="41">
        <v>88.333333333333329</v>
      </c>
      <c r="S23" s="40"/>
      <c r="T23" s="41"/>
      <c r="U23" s="41"/>
      <c r="V23" s="40"/>
      <c r="W23" s="40"/>
      <c r="X23" s="40"/>
      <c r="Y23" s="40"/>
      <c r="Z23" s="41"/>
      <c r="AA23" s="41">
        <v>83</v>
      </c>
      <c r="AB23" s="32">
        <f t="shared" si="0"/>
        <v>660</v>
      </c>
      <c r="AC23" s="18"/>
      <c r="AD23" s="13">
        <f t="shared" si="1"/>
        <v>82.5</v>
      </c>
    </row>
    <row r="24" spans="1:30" x14ac:dyDescent="0.3">
      <c r="A24" s="7">
        <v>17</v>
      </c>
      <c r="B24" s="22" t="s">
        <v>33</v>
      </c>
      <c r="C24" s="41">
        <v>81.333333333333329</v>
      </c>
      <c r="D24" s="41">
        <v>89</v>
      </c>
      <c r="E24" s="40">
        <v>83</v>
      </c>
      <c r="F24" s="41"/>
      <c r="G24" s="41"/>
      <c r="H24" s="41"/>
      <c r="I24" s="40"/>
      <c r="J24" s="40"/>
      <c r="K24" s="40"/>
      <c r="L24" s="41">
        <v>84</v>
      </c>
      <c r="M24" s="41">
        <v>84</v>
      </c>
      <c r="N24" s="41"/>
      <c r="O24" s="41">
        <v>81</v>
      </c>
      <c r="P24" s="41">
        <v>71.666666666666671</v>
      </c>
      <c r="Q24" s="41"/>
      <c r="R24" s="41"/>
      <c r="S24" s="41"/>
      <c r="T24" s="41"/>
      <c r="U24" s="41"/>
      <c r="V24" s="40"/>
      <c r="W24" s="40"/>
      <c r="X24" s="40"/>
      <c r="Y24" s="40"/>
      <c r="Z24" s="40">
        <v>75.666666666666671</v>
      </c>
      <c r="AA24" s="41">
        <v>87</v>
      </c>
      <c r="AB24" s="32">
        <f t="shared" si="0"/>
        <v>736.66666666666663</v>
      </c>
      <c r="AC24" s="18"/>
      <c r="AD24" s="13">
        <f t="shared" si="1"/>
        <v>81.851851851851848</v>
      </c>
    </row>
    <row r="25" spans="1:30" x14ac:dyDescent="0.3">
      <c r="A25" s="7">
        <v>18</v>
      </c>
      <c r="B25" s="22" t="s">
        <v>129</v>
      </c>
      <c r="C25" s="41">
        <v>75</v>
      </c>
      <c r="D25" s="41">
        <v>93.333333333333329</v>
      </c>
      <c r="E25" s="41">
        <v>86.333333333333329</v>
      </c>
      <c r="F25" s="41"/>
      <c r="G25" s="41"/>
      <c r="H25" s="41">
        <v>81</v>
      </c>
      <c r="I25" s="41"/>
      <c r="J25" s="41"/>
      <c r="K25" s="41"/>
      <c r="L25" s="41">
        <v>80</v>
      </c>
      <c r="M25" s="41">
        <v>77.666666666666671</v>
      </c>
      <c r="N25" s="41"/>
      <c r="O25" s="41"/>
      <c r="P25" s="41"/>
      <c r="Q25" s="41"/>
      <c r="R25" s="41"/>
      <c r="S25" s="41"/>
      <c r="T25" s="41"/>
      <c r="U25" s="41"/>
      <c r="V25" s="41">
        <v>87</v>
      </c>
      <c r="W25" s="41"/>
      <c r="X25" s="41"/>
      <c r="Y25" s="41"/>
      <c r="Z25" s="41">
        <v>72.333333333333329</v>
      </c>
      <c r="AA25" s="41"/>
      <c r="AB25" s="32">
        <f t="shared" si="0"/>
        <v>652.66666666666663</v>
      </c>
      <c r="AC25" s="18"/>
      <c r="AD25" s="13">
        <f t="shared" si="1"/>
        <v>81.583333333333329</v>
      </c>
    </row>
    <row r="26" spans="1:30" x14ac:dyDescent="0.3">
      <c r="A26" s="7">
        <v>19</v>
      </c>
      <c r="B26" s="22" t="s">
        <v>65</v>
      </c>
      <c r="C26" s="41">
        <v>71.666666666666671</v>
      </c>
      <c r="D26" s="41">
        <v>91.666666666666671</v>
      </c>
      <c r="E26" s="41"/>
      <c r="F26" s="41">
        <v>84.666666666666671</v>
      </c>
      <c r="G26" s="40"/>
      <c r="H26" s="41">
        <v>84</v>
      </c>
      <c r="I26" s="40"/>
      <c r="J26" s="40"/>
      <c r="K26" s="40"/>
      <c r="L26" s="41">
        <v>75.333333333333329</v>
      </c>
      <c r="M26" s="41">
        <v>77</v>
      </c>
      <c r="N26" s="40"/>
      <c r="O26" s="41"/>
      <c r="P26" s="41"/>
      <c r="Q26" s="40"/>
      <c r="R26" s="40"/>
      <c r="S26" s="41"/>
      <c r="T26" s="41"/>
      <c r="U26" s="41">
        <v>82.333333333333329</v>
      </c>
      <c r="V26" s="41"/>
      <c r="W26" s="40"/>
      <c r="X26" s="40"/>
      <c r="Y26" s="40"/>
      <c r="Z26" s="41"/>
      <c r="AA26" s="41">
        <v>85.333333333333329</v>
      </c>
      <c r="AB26" s="32">
        <f t="shared" si="0"/>
        <v>652</v>
      </c>
      <c r="AC26" s="18"/>
      <c r="AD26" s="13">
        <f t="shared" si="1"/>
        <v>81.5</v>
      </c>
    </row>
    <row r="27" spans="1:30" x14ac:dyDescent="0.3">
      <c r="A27" s="7">
        <v>20</v>
      </c>
      <c r="B27" s="22" t="s">
        <v>15</v>
      </c>
      <c r="C27" s="41">
        <v>83.333333333333329</v>
      </c>
      <c r="D27" s="41">
        <v>92.666666666666671</v>
      </c>
      <c r="E27" s="41"/>
      <c r="F27" s="41">
        <v>73.333333333333329</v>
      </c>
      <c r="G27" s="40"/>
      <c r="H27" s="41"/>
      <c r="I27" s="40"/>
      <c r="J27" s="40"/>
      <c r="K27" s="40"/>
      <c r="L27" s="41">
        <v>84.666666666666671</v>
      </c>
      <c r="M27" s="41">
        <v>80.333333333333329</v>
      </c>
      <c r="N27" s="40"/>
      <c r="O27" s="41"/>
      <c r="P27" s="41">
        <v>81.333333333333329</v>
      </c>
      <c r="Q27" s="40">
        <v>76.666666666666671</v>
      </c>
      <c r="R27" s="40"/>
      <c r="S27" s="40"/>
      <c r="T27" s="40"/>
      <c r="U27" s="41">
        <v>80.333333333333329</v>
      </c>
      <c r="V27" s="40"/>
      <c r="W27" s="40"/>
      <c r="X27" s="41"/>
      <c r="Y27" s="40"/>
      <c r="Z27" s="41">
        <v>78.333333333333329</v>
      </c>
      <c r="AA27" s="41"/>
      <c r="AB27" s="32">
        <f t="shared" si="0"/>
        <v>731</v>
      </c>
      <c r="AC27" s="18"/>
      <c r="AD27" s="13">
        <f t="shared" si="1"/>
        <v>81.222222222222229</v>
      </c>
    </row>
    <row r="28" spans="1:30" x14ac:dyDescent="0.3">
      <c r="A28" s="7">
        <v>21</v>
      </c>
      <c r="B28" s="22" t="s">
        <v>16</v>
      </c>
      <c r="C28" s="41">
        <v>90.333333333333329</v>
      </c>
      <c r="D28" s="41">
        <v>96.666666666666671</v>
      </c>
      <c r="E28" s="41"/>
      <c r="F28" s="40">
        <v>81</v>
      </c>
      <c r="G28" s="41"/>
      <c r="H28" s="41"/>
      <c r="I28" s="41"/>
      <c r="J28" s="40"/>
      <c r="K28" s="41"/>
      <c r="L28" s="41">
        <v>84.666666666666671</v>
      </c>
      <c r="M28" s="41">
        <v>80.666666666666671</v>
      </c>
      <c r="N28" s="41"/>
      <c r="O28" s="40"/>
      <c r="P28" s="40">
        <v>66.333333333333329</v>
      </c>
      <c r="Q28" s="40">
        <v>80.666666666666671</v>
      </c>
      <c r="R28" s="41"/>
      <c r="S28" s="40"/>
      <c r="T28" s="40"/>
      <c r="U28" s="40">
        <v>72</v>
      </c>
      <c r="V28" s="41"/>
      <c r="W28" s="41"/>
      <c r="X28" s="40"/>
      <c r="Y28" s="40"/>
      <c r="Z28" s="41">
        <v>75.333333333333329</v>
      </c>
      <c r="AA28" s="41"/>
      <c r="AB28" s="32">
        <f t="shared" si="0"/>
        <v>727.66666666666674</v>
      </c>
      <c r="AC28" s="18"/>
      <c r="AD28" s="13">
        <f t="shared" si="1"/>
        <v>80.851851851851862</v>
      </c>
    </row>
    <row r="29" spans="1:30" x14ac:dyDescent="0.3">
      <c r="A29" s="7">
        <v>22</v>
      </c>
      <c r="B29" s="22" t="s">
        <v>153</v>
      </c>
      <c r="C29" s="41">
        <v>68.666666666666671</v>
      </c>
      <c r="D29" s="41">
        <v>85</v>
      </c>
      <c r="E29" s="41"/>
      <c r="F29" s="41"/>
      <c r="G29" s="41"/>
      <c r="H29" s="41"/>
      <c r="I29" s="40">
        <v>92.333333333333329</v>
      </c>
      <c r="J29" s="40"/>
      <c r="K29" s="40">
        <v>83.333333333333329</v>
      </c>
      <c r="L29" s="41">
        <v>71</v>
      </c>
      <c r="M29" s="41"/>
      <c r="N29" s="41">
        <v>89.666666666666671</v>
      </c>
      <c r="O29" s="41"/>
      <c r="P29" s="41"/>
      <c r="Q29" s="41"/>
      <c r="R29" s="41"/>
      <c r="S29" s="40"/>
      <c r="T29" s="40"/>
      <c r="U29" s="41"/>
      <c r="V29" s="40"/>
      <c r="W29" s="40">
        <v>80.666666666666671</v>
      </c>
      <c r="X29" s="41"/>
      <c r="Y29" s="40"/>
      <c r="Z29" s="41"/>
      <c r="AA29" s="41">
        <v>67.666666666666671</v>
      </c>
      <c r="AB29" s="32">
        <f t="shared" si="0"/>
        <v>638.33333333333326</v>
      </c>
      <c r="AC29" s="18"/>
      <c r="AD29" s="13">
        <f t="shared" si="1"/>
        <v>79.791666666666657</v>
      </c>
    </row>
    <row r="30" spans="1:30" x14ac:dyDescent="0.3">
      <c r="A30" s="7">
        <v>23</v>
      </c>
      <c r="B30" s="22" t="s">
        <v>55</v>
      </c>
      <c r="C30" s="41">
        <v>69</v>
      </c>
      <c r="D30" s="41">
        <v>88.333333333333329</v>
      </c>
      <c r="E30" s="40">
        <v>81.666666666666671</v>
      </c>
      <c r="F30" s="41"/>
      <c r="G30" s="41"/>
      <c r="H30" s="41"/>
      <c r="I30" s="41"/>
      <c r="J30" s="40"/>
      <c r="K30" s="41"/>
      <c r="L30" s="41">
        <v>81.333333333333329</v>
      </c>
      <c r="M30" s="41">
        <v>82.666666666666671</v>
      </c>
      <c r="N30" s="41"/>
      <c r="O30" s="41"/>
      <c r="P30" s="41"/>
      <c r="Q30" s="41"/>
      <c r="R30" s="40"/>
      <c r="S30" s="41"/>
      <c r="T30" s="41"/>
      <c r="U30" s="41">
        <v>72.333333333333329</v>
      </c>
      <c r="V30" s="40"/>
      <c r="W30" s="41"/>
      <c r="X30" s="40">
        <v>81</v>
      </c>
      <c r="Y30" s="40"/>
      <c r="Z30" s="40">
        <v>80.666666666666671</v>
      </c>
      <c r="AA30" s="41"/>
      <c r="AB30" s="32">
        <f t="shared" si="0"/>
        <v>636.99999999999989</v>
      </c>
      <c r="AC30" s="18"/>
      <c r="AD30" s="13">
        <f t="shared" si="1"/>
        <v>79.624999999999986</v>
      </c>
    </row>
    <row r="31" spans="1:30" x14ac:dyDescent="0.3">
      <c r="A31" s="7">
        <v>24</v>
      </c>
      <c r="B31" s="22" t="s">
        <v>146</v>
      </c>
      <c r="C31" s="41">
        <v>58.333333333333336</v>
      </c>
      <c r="D31" s="41">
        <v>85.333333333333329</v>
      </c>
      <c r="E31" s="40"/>
      <c r="F31" s="41"/>
      <c r="G31" s="41"/>
      <c r="H31" s="41"/>
      <c r="I31" s="40">
        <v>88.333333333333329</v>
      </c>
      <c r="J31" s="41"/>
      <c r="K31" s="40">
        <v>84.333333333333329</v>
      </c>
      <c r="L31" s="41">
        <v>78.666666666666671</v>
      </c>
      <c r="M31" s="41"/>
      <c r="N31" s="41">
        <v>91.666666666666671</v>
      </c>
      <c r="O31" s="40"/>
      <c r="P31" s="40"/>
      <c r="Q31" s="40"/>
      <c r="R31" s="41"/>
      <c r="S31" s="41"/>
      <c r="T31" s="41"/>
      <c r="U31" s="41"/>
      <c r="V31" s="40"/>
      <c r="W31" s="40">
        <v>82.666666666666671</v>
      </c>
      <c r="X31" s="40"/>
      <c r="Y31" s="41"/>
      <c r="Z31" s="40"/>
      <c r="AA31" s="41">
        <v>66</v>
      </c>
      <c r="AB31" s="32">
        <f t="shared" si="0"/>
        <v>635.33333333333337</v>
      </c>
      <c r="AC31" s="18"/>
      <c r="AD31" s="13">
        <f t="shared" si="1"/>
        <v>79.416666666666671</v>
      </c>
    </row>
    <row r="32" spans="1:30" x14ac:dyDescent="0.3">
      <c r="A32" s="7">
        <v>25</v>
      </c>
      <c r="B32" s="22" t="s">
        <v>53</v>
      </c>
      <c r="C32" s="41">
        <v>78</v>
      </c>
      <c r="D32" s="41">
        <v>89</v>
      </c>
      <c r="E32" s="41">
        <v>83.666666666666671</v>
      </c>
      <c r="F32" s="41"/>
      <c r="G32" s="41"/>
      <c r="H32" s="41"/>
      <c r="I32" s="40"/>
      <c r="J32" s="40"/>
      <c r="K32" s="41"/>
      <c r="L32" s="41">
        <v>81</v>
      </c>
      <c r="M32" s="41">
        <v>77.333333333333329</v>
      </c>
      <c r="N32" s="41"/>
      <c r="O32" s="41"/>
      <c r="P32" s="41"/>
      <c r="Q32" s="40"/>
      <c r="R32" s="41"/>
      <c r="S32" s="40"/>
      <c r="T32" s="41"/>
      <c r="U32" s="41">
        <v>72.666666666666671</v>
      </c>
      <c r="V32" s="41"/>
      <c r="W32" s="40"/>
      <c r="X32" s="40">
        <v>81</v>
      </c>
      <c r="Y32" s="40"/>
      <c r="Z32" s="41">
        <v>72.333333333333329</v>
      </c>
      <c r="AA32" s="41"/>
      <c r="AB32" s="32">
        <f t="shared" si="0"/>
        <v>635.00000000000011</v>
      </c>
      <c r="AC32" s="18"/>
      <c r="AD32" s="13">
        <f t="shared" si="1"/>
        <v>79.375000000000014</v>
      </c>
    </row>
    <row r="33" spans="1:30" x14ac:dyDescent="0.3">
      <c r="A33" s="7">
        <v>26</v>
      </c>
      <c r="B33" s="22" t="s">
        <v>157</v>
      </c>
      <c r="C33" s="41">
        <v>68</v>
      </c>
      <c r="D33" s="41">
        <v>84</v>
      </c>
      <c r="E33" s="41"/>
      <c r="F33" s="41"/>
      <c r="G33" s="40"/>
      <c r="H33" s="40"/>
      <c r="I33" s="40">
        <v>82.333333333333329</v>
      </c>
      <c r="J33" s="40"/>
      <c r="K33" s="40">
        <v>86.666666666666671</v>
      </c>
      <c r="L33" s="41">
        <v>67.666666666666671</v>
      </c>
      <c r="M33" s="41"/>
      <c r="N33" s="40">
        <v>87</v>
      </c>
      <c r="O33" s="41"/>
      <c r="P33" s="41"/>
      <c r="Q33" s="41"/>
      <c r="R33" s="40"/>
      <c r="S33" s="40"/>
      <c r="T33" s="40"/>
      <c r="U33" s="41"/>
      <c r="V33" s="40"/>
      <c r="W33" s="40">
        <v>80</v>
      </c>
      <c r="X33" s="41"/>
      <c r="Y33" s="40"/>
      <c r="Z33" s="41"/>
      <c r="AA33" s="41">
        <v>77</v>
      </c>
      <c r="AB33" s="32">
        <f t="shared" si="0"/>
        <v>632.66666666666674</v>
      </c>
      <c r="AC33" s="18"/>
      <c r="AD33" s="13">
        <f t="shared" si="1"/>
        <v>79.083333333333343</v>
      </c>
    </row>
    <row r="34" spans="1:30" x14ac:dyDescent="0.3">
      <c r="A34" s="7">
        <v>27</v>
      </c>
      <c r="B34" s="22" t="s">
        <v>54</v>
      </c>
      <c r="C34" s="41">
        <v>68.333333333333329</v>
      </c>
      <c r="D34" s="41">
        <v>90.333333333333329</v>
      </c>
      <c r="E34" s="41">
        <v>87.333333333333329</v>
      </c>
      <c r="F34" s="41"/>
      <c r="G34" s="41"/>
      <c r="H34" s="41"/>
      <c r="I34" s="41"/>
      <c r="J34" s="41"/>
      <c r="K34" s="41"/>
      <c r="L34" s="41">
        <v>67</v>
      </c>
      <c r="M34" s="41">
        <v>82</v>
      </c>
      <c r="N34" s="41"/>
      <c r="O34" s="41"/>
      <c r="P34" s="41"/>
      <c r="Q34" s="41"/>
      <c r="R34" s="41"/>
      <c r="S34" s="41"/>
      <c r="T34" s="41"/>
      <c r="U34" s="41">
        <v>74.666666666666671</v>
      </c>
      <c r="V34" s="41"/>
      <c r="W34" s="41"/>
      <c r="X34" s="41">
        <v>80</v>
      </c>
      <c r="Y34" s="41"/>
      <c r="Z34" s="41">
        <v>80</v>
      </c>
      <c r="AA34" s="41"/>
      <c r="AB34" s="32">
        <f t="shared" si="0"/>
        <v>629.66666666666674</v>
      </c>
      <c r="AC34" s="18"/>
      <c r="AD34" s="13">
        <f t="shared" si="1"/>
        <v>78.708333333333343</v>
      </c>
    </row>
    <row r="35" spans="1:30" x14ac:dyDescent="0.3">
      <c r="A35" s="7">
        <v>28</v>
      </c>
      <c r="B35" s="22" t="s">
        <v>128</v>
      </c>
      <c r="C35" s="41">
        <v>64.666666666666671</v>
      </c>
      <c r="D35" s="41">
        <v>90</v>
      </c>
      <c r="E35" s="41">
        <v>80.333333333333329</v>
      </c>
      <c r="F35" s="41"/>
      <c r="G35" s="41"/>
      <c r="H35" s="41">
        <v>82</v>
      </c>
      <c r="I35" s="40"/>
      <c r="J35" s="40"/>
      <c r="K35" s="40"/>
      <c r="L35" s="41">
        <v>71</v>
      </c>
      <c r="M35" s="41">
        <v>81.666666666666671</v>
      </c>
      <c r="N35" s="41"/>
      <c r="O35" s="41"/>
      <c r="P35" s="41"/>
      <c r="Q35" s="41"/>
      <c r="R35" s="41"/>
      <c r="S35" s="40"/>
      <c r="T35" s="41"/>
      <c r="U35" s="41"/>
      <c r="V35" s="40">
        <v>85</v>
      </c>
      <c r="W35" s="40"/>
      <c r="X35" s="41"/>
      <c r="Y35" s="40"/>
      <c r="Z35" s="41">
        <v>71</v>
      </c>
      <c r="AA35" s="41"/>
      <c r="AB35" s="32">
        <f t="shared" si="0"/>
        <v>625.66666666666674</v>
      </c>
      <c r="AC35" s="18"/>
      <c r="AD35" s="13">
        <f t="shared" si="1"/>
        <v>78.208333333333343</v>
      </c>
    </row>
    <row r="36" spans="1:30" x14ac:dyDescent="0.3">
      <c r="A36" s="7">
        <v>29</v>
      </c>
      <c r="B36" s="22" t="s">
        <v>138</v>
      </c>
      <c r="C36" s="41">
        <v>58.333333333333336</v>
      </c>
      <c r="D36" s="41">
        <v>82.666666666666671</v>
      </c>
      <c r="E36" s="40"/>
      <c r="F36" s="40"/>
      <c r="G36" s="40"/>
      <c r="H36" s="41"/>
      <c r="I36" s="41"/>
      <c r="J36" s="41">
        <v>80.666666666666671</v>
      </c>
      <c r="K36" s="41"/>
      <c r="L36" s="41">
        <v>62</v>
      </c>
      <c r="M36" s="41"/>
      <c r="N36" s="41">
        <v>94.666666666666671</v>
      </c>
      <c r="O36" s="40"/>
      <c r="P36" s="40"/>
      <c r="Q36" s="40"/>
      <c r="R36" s="40"/>
      <c r="S36" s="41"/>
      <c r="T36" s="41"/>
      <c r="U36" s="40"/>
      <c r="V36" s="40"/>
      <c r="W36" s="41"/>
      <c r="X36" s="40"/>
      <c r="Y36" s="41">
        <v>84.666666666666671</v>
      </c>
      <c r="Z36" s="40"/>
      <c r="AA36" s="41">
        <v>81.666666666666671</v>
      </c>
      <c r="AB36" s="32">
        <f t="shared" si="0"/>
        <v>544.66666666666674</v>
      </c>
      <c r="AC36" s="18"/>
      <c r="AD36" s="13">
        <f t="shared" si="1"/>
        <v>77.809523809523824</v>
      </c>
    </row>
    <row r="37" spans="1:30" x14ac:dyDescent="0.3">
      <c r="A37" s="7">
        <v>30</v>
      </c>
      <c r="B37" s="22" t="s">
        <v>136</v>
      </c>
      <c r="C37" s="41">
        <v>41.333333333333336</v>
      </c>
      <c r="D37" s="41">
        <v>89.333333333333329</v>
      </c>
      <c r="E37" s="41"/>
      <c r="F37" s="41"/>
      <c r="G37" s="41"/>
      <c r="H37" s="41"/>
      <c r="I37" s="41"/>
      <c r="J37" s="40">
        <v>81.666666666666671</v>
      </c>
      <c r="K37" s="41"/>
      <c r="L37" s="41">
        <v>72.666666666666671</v>
      </c>
      <c r="M37" s="41"/>
      <c r="N37" s="41">
        <v>85</v>
      </c>
      <c r="O37" s="41"/>
      <c r="P37" s="41"/>
      <c r="Q37" s="41"/>
      <c r="R37" s="41"/>
      <c r="S37" s="40"/>
      <c r="T37" s="40"/>
      <c r="U37" s="41"/>
      <c r="V37" s="40"/>
      <c r="W37" s="41"/>
      <c r="X37" s="40"/>
      <c r="Y37" s="40">
        <v>88</v>
      </c>
      <c r="Z37" s="41"/>
      <c r="AA37" s="41">
        <v>86</v>
      </c>
      <c r="AB37" s="32">
        <f t="shared" si="0"/>
        <v>544</v>
      </c>
      <c r="AC37" s="18"/>
      <c r="AD37" s="13">
        <f t="shared" si="1"/>
        <v>77.714285714285708</v>
      </c>
    </row>
    <row r="38" spans="1:30" x14ac:dyDescent="0.3">
      <c r="A38" s="7">
        <v>31</v>
      </c>
      <c r="B38" s="22" t="s">
        <v>143</v>
      </c>
      <c r="C38" s="41">
        <v>68</v>
      </c>
      <c r="D38" s="41">
        <v>88</v>
      </c>
      <c r="E38" s="40"/>
      <c r="F38" s="41"/>
      <c r="G38" s="41"/>
      <c r="H38" s="41"/>
      <c r="I38" s="41">
        <v>48.333333333333336</v>
      </c>
      <c r="J38" s="40"/>
      <c r="K38" s="41">
        <v>83.333333333333329</v>
      </c>
      <c r="L38" s="41">
        <v>79</v>
      </c>
      <c r="M38" s="41"/>
      <c r="N38" s="41">
        <v>90.666666666666671</v>
      </c>
      <c r="O38" s="40"/>
      <c r="P38" s="40"/>
      <c r="Q38" s="40"/>
      <c r="R38" s="41"/>
      <c r="S38" s="40"/>
      <c r="T38" s="40"/>
      <c r="U38" s="41"/>
      <c r="V38" s="40"/>
      <c r="W38" s="41">
        <v>85.333333333333329</v>
      </c>
      <c r="X38" s="40"/>
      <c r="Y38" s="40"/>
      <c r="Z38" s="40"/>
      <c r="AA38" s="41">
        <v>76.666666666666671</v>
      </c>
      <c r="AB38" s="32">
        <f t="shared" si="0"/>
        <v>619.33333333333337</v>
      </c>
      <c r="AC38" s="18"/>
      <c r="AD38" s="13">
        <f t="shared" si="1"/>
        <v>77.416666666666671</v>
      </c>
    </row>
    <row r="39" spans="1:30" x14ac:dyDescent="0.3">
      <c r="A39" s="7">
        <v>32</v>
      </c>
      <c r="B39" s="22" t="s">
        <v>127</v>
      </c>
      <c r="C39" s="41">
        <v>62.333333333333336</v>
      </c>
      <c r="D39" s="41">
        <v>89.666666666666671</v>
      </c>
      <c r="E39" s="40">
        <v>77.333333333333329</v>
      </c>
      <c r="F39" s="41"/>
      <c r="G39" s="41"/>
      <c r="H39" s="41">
        <v>80.666666666666671</v>
      </c>
      <c r="I39" s="40"/>
      <c r="J39" s="40"/>
      <c r="K39" s="41"/>
      <c r="L39" s="41">
        <v>69.666666666666671</v>
      </c>
      <c r="M39" s="41">
        <v>79</v>
      </c>
      <c r="N39" s="41"/>
      <c r="O39" s="40"/>
      <c r="P39" s="41"/>
      <c r="Q39" s="40"/>
      <c r="R39" s="41"/>
      <c r="S39" s="40"/>
      <c r="T39" s="41"/>
      <c r="U39" s="41"/>
      <c r="V39" s="40">
        <v>84.333333333333329</v>
      </c>
      <c r="W39" s="40"/>
      <c r="X39" s="40"/>
      <c r="Y39" s="40"/>
      <c r="Z39" s="40">
        <v>68.666666666666671</v>
      </c>
      <c r="AA39" s="41"/>
      <c r="AB39" s="32">
        <f t="shared" si="0"/>
        <v>611.66666666666663</v>
      </c>
      <c r="AC39" s="18"/>
      <c r="AD39" s="13">
        <f t="shared" si="1"/>
        <v>76.458333333333329</v>
      </c>
    </row>
    <row r="40" spans="1:30" ht="123.6" x14ac:dyDescent="0.3">
      <c r="A40" s="20" t="s">
        <v>171</v>
      </c>
      <c r="B40" s="34" t="s">
        <v>172</v>
      </c>
      <c r="C40" s="39" t="s">
        <v>3</v>
      </c>
      <c r="D40" s="39" t="s">
        <v>19</v>
      </c>
      <c r="E40" s="39" t="s">
        <v>163</v>
      </c>
      <c r="F40" s="39" t="s">
        <v>20</v>
      </c>
      <c r="G40" s="39" t="s">
        <v>174</v>
      </c>
      <c r="H40" s="39" t="s">
        <v>168</v>
      </c>
      <c r="I40" s="39" t="s">
        <v>159</v>
      </c>
      <c r="J40" s="39" t="s">
        <v>140</v>
      </c>
      <c r="K40" s="39" t="s">
        <v>160</v>
      </c>
      <c r="L40" s="39" t="s">
        <v>21</v>
      </c>
      <c r="M40" s="39" t="s">
        <v>22</v>
      </c>
      <c r="N40" s="39" t="s">
        <v>169</v>
      </c>
      <c r="O40" s="39" t="s">
        <v>46</v>
      </c>
      <c r="P40" s="39" t="s">
        <v>23</v>
      </c>
      <c r="Q40" s="39" t="s">
        <v>24</v>
      </c>
      <c r="R40" s="39" t="s">
        <v>109</v>
      </c>
      <c r="S40" s="39" t="s">
        <v>123</v>
      </c>
      <c r="T40" s="39" t="s">
        <v>124</v>
      </c>
      <c r="U40" s="39" t="s">
        <v>173</v>
      </c>
      <c r="V40" s="39" t="s">
        <v>131</v>
      </c>
      <c r="W40" s="39" t="s">
        <v>179</v>
      </c>
      <c r="X40" s="39" t="s">
        <v>164</v>
      </c>
      <c r="Y40" s="39" t="s">
        <v>141</v>
      </c>
      <c r="Z40" s="39" t="s">
        <v>165</v>
      </c>
      <c r="AA40" s="39" t="s">
        <v>47</v>
      </c>
      <c r="AB40" s="31" t="s">
        <v>166</v>
      </c>
      <c r="AC40" s="12"/>
      <c r="AD40" s="29" t="s">
        <v>167</v>
      </c>
    </row>
    <row r="42" spans="1:30" x14ac:dyDescent="0.3">
      <c r="A42" s="7">
        <v>33</v>
      </c>
      <c r="B42" s="22" t="s">
        <v>51</v>
      </c>
      <c r="C42" s="41">
        <v>63.666666666666664</v>
      </c>
      <c r="D42" s="41">
        <v>94</v>
      </c>
      <c r="E42" s="41">
        <v>78</v>
      </c>
      <c r="F42" s="41"/>
      <c r="G42" s="41"/>
      <c r="H42" s="41"/>
      <c r="I42" s="41"/>
      <c r="J42" s="41"/>
      <c r="K42" s="41"/>
      <c r="L42" s="41">
        <v>72.666666666666671</v>
      </c>
      <c r="M42" s="41">
        <v>81.666666666666671</v>
      </c>
      <c r="N42" s="41"/>
      <c r="O42" s="41"/>
      <c r="P42" s="41"/>
      <c r="Q42" s="41"/>
      <c r="R42" s="41"/>
      <c r="S42" s="41"/>
      <c r="T42" s="41"/>
      <c r="U42" s="41">
        <v>68</v>
      </c>
      <c r="V42" s="41"/>
      <c r="W42" s="41"/>
      <c r="X42" s="41">
        <v>75.333333333333329</v>
      </c>
      <c r="Y42" s="41"/>
      <c r="Z42" s="41">
        <v>77.333333333333329</v>
      </c>
      <c r="AA42" s="41"/>
      <c r="AB42" s="32">
        <f t="shared" ref="AB42:AB78" si="2">SUM(C42:AA42)</f>
        <v>610.66666666666674</v>
      </c>
      <c r="AC42" s="18"/>
      <c r="AD42" s="13">
        <f t="shared" ref="AD42:AD78" si="3">AVERAGE(C42:AA42)</f>
        <v>76.333333333333343</v>
      </c>
    </row>
    <row r="43" spans="1:30" x14ac:dyDescent="0.3">
      <c r="A43" s="7">
        <v>34</v>
      </c>
      <c r="B43" s="22" t="s">
        <v>130</v>
      </c>
      <c r="C43" s="41">
        <v>57.666666666666664</v>
      </c>
      <c r="D43" s="41">
        <v>86</v>
      </c>
      <c r="E43" s="41">
        <v>77.333333333333329</v>
      </c>
      <c r="F43" s="41"/>
      <c r="G43" s="41"/>
      <c r="H43" s="41">
        <v>77.333333333333329</v>
      </c>
      <c r="I43" s="41"/>
      <c r="J43" s="40"/>
      <c r="K43" s="41"/>
      <c r="L43" s="41">
        <v>80.333333333333329</v>
      </c>
      <c r="M43" s="41">
        <v>80</v>
      </c>
      <c r="N43" s="41"/>
      <c r="O43" s="40"/>
      <c r="P43" s="40"/>
      <c r="Q43" s="40"/>
      <c r="R43" s="41"/>
      <c r="S43" s="40"/>
      <c r="T43" s="40"/>
      <c r="U43" s="41"/>
      <c r="V43" s="40">
        <v>81</v>
      </c>
      <c r="W43" s="41"/>
      <c r="X43" s="41"/>
      <c r="Y43" s="40"/>
      <c r="Z43" s="41">
        <v>64.333333333333329</v>
      </c>
      <c r="AA43" s="41"/>
      <c r="AB43" s="32">
        <f t="shared" si="2"/>
        <v>604</v>
      </c>
      <c r="AC43" s="18"/>
      <c r="AD43" s="13">
        <f t="shared" si="3"/>
        <v>75.5</v>
      </c>
    </row>
    <row r="44" spans="1:30" x14ac:dyDescent="0.3">
      <c r="A44" s="7">
        <v>35</v>
      </c>
      <c r="B44" s="22" t="s">
        <v>18</v>
      </c>
      <c r="C44" s="41">
        <v>79.666666666666671</v>
      </c>
      <c r="D44" s="41">
        <v>86.333333333333329</v>
      </c>
      <c r="E44" s="41"/>
      <c r="F44" s="40">
        <v>72.666666666666671</v>
      </c>
      <c r="G44" s="41"/>
      <c r="H44" s="41"/>
      <c r="I44" s="40"/>
      <c r="J44" s="40"/>
      <c r="K44" s="41"/>
      <c r="L44" s="41">
        <v>81.333333333333329</v>
      </c>
      <c r="M44" s="41">
        <v>78.666666666666671</v>
      </c>
      <c r="N44" s="41"/>
      <c r="O44" s="40"/>
      <c r="P44" s="41">
        <v>71.333333333333329</v>
      </c>
      <c r="Q44" s="40">
        <v>65.333333333333329</v>
      </c>
      <c r="R44" s="41"/>
      <c r="S44" s="41"/>
      <c r="T44" s="41"/>
      <c r="U44" s="41">
        <v>71.666666666666671</v>
      </c>
      <c r="V44" s="41"/>
      <c r="W44" s="40"/>
      <c r="X44" s="41"/>
      <c r="Y44" s="40"/>
      <c r="Z44" s="41">
        <v>68.333333333333329</v>
      </c>
      <c r="AA44" s="41"/>
      <c r="AB44" s="32">
        <f t="shared" si="2"/>
        <v>675.33333333333337</v>
      </c>
      <c r="AC44" s="18"/>
      <c r="AD44" s="13">
        <f t="shared" si="3"/>
        <v>75.037037037037038</v>
      </c>
    </row>
    <row r="45" spans="1:30" x14ac:dyDescent="0.3">
      <c r="A45" s="7">
        <v>36</v>
      </c>
      <c r="B45" s="22" t="s">
        <v>17</v>
      </c>
      <c r="C45" s="41">
        <v>79.666666666666671</v>
      </c>
      <c r="D45" s="41">
        <v>87.666666666666671</v>
      </c>
      <c r="E45" s="41"/>
      <c r="F45" s="41">
        <v>58</v>
      </c>
      <c r="G45" s="40"/>
      <c r="H45" s="40"/>
      <c r="I45" s="40"/>
      <c r="J45" s="40"/>
      <c r="K45" s="40"/>
      <c r="L45" s="41">
        <v>76.333333333333329</v>
      </c>
      <c r="M45" s="41">
        <v>80.333333333333329</v>
      </c>
      <c r="N45" s="40"/>
      <c r="O45" s="41"/>
      <c r="P45" s="41">
        <v>74.666666666666671</v>
      </c>
      <c r="Q45" s="41">
        <v>67.333333333333329</v>
      </c>
      <c r="R45" s="40"/>
      <c r="S45" s="40"/>
      <c r="T45" s="40"/>
      <c r="U45" s="41">
        <v>70</v>
      </c>
      <c r="V45" s="40"/>
      <c r="W45" s="40"/>
      <c r="X45" s="41"/>
      <c r="Y45" s="40"/>
      <c r="Z45" s="41">
        <v>70.333333333333329</v>
      </c>
      <c r="AA45" s="41"/>
      <c r="AB45" s="32">
        <f t="shared" si="2"/>
        <v>664.33333333333337</v>
      </c>
      <c r="AC45" s="18"/>
      <c r="AD45" s="13">
        <f t="shared" si="3"/>
        <v>73.814814814814824</v>
      </c>
    </row>
    <row r="46" spans="1:30" x14ac:dyDescent="0.3">
      <c r="A46" s="7">
        <v>37</v>
      </c>
      <c r="B46" s="22" t="s">
        <v>101</v>
      </c>
      <c r="C46" s="41">
        <v>33.333333333333336</v>
      </c>
      <c r="D46" s="41">
        <v>86</v>
      </c>
      <c r="E46" s="40"/>
      <c r="F46" s="40"/>
      <c r="G46" s="40">
        <v>81.333333333333329</v>
      </c>
      <c r="H46" s="41">
        <v>78.333333333333329</v>
      </c>
      <c r="I46" s="41"/>
      <c r="J46" s="41"/>
      <c r="K46" s="41"/>
      <c r="L46" s="41">
        <v>60.333333333333336</v>
      </c>
      <c r="M46" s="41"/>
      <c r="N46" s="41">
        <v>82.333333333333329</v>
      </c>
      <c r="O46" s="40"/>
      <c r="P46" s="40"/>
      <c r="Q46" s="40"/>
      <c r="R46" s="40">
        <v>77.333333333333329</v>
      </c>
      <c r="S46" s="41"/>
      <c r="T46" s="41"/>
      <c r="U46" s="40"/>
      <c r="V46" s="40"/>
      <c r="W46" s="41"/>
      <c r="X46" s="40"/>
      <c r="Y46" s="41"/>
      <c r="Z46" s="40"/>
      <c r="AA46" s="41">
        <v>80.666666666666671</v>
      </c>
      <c r="AB46" s="32">
        <f t="shared" si="2"/>
        <v>579.66666666666663</v>
      </c>
      <c r="AC46" s="18"/>
      <c r="AD46" s="13">
        <f t="shared" si="3"/>
        <v>72.458333333333329</v>
      </c>
    </row>
    <row r="47" spans="1:30" x14ac:dyDescent="0.3">
      <c r="A47" s="7">
        <v>38</v>
      </c>
      <c r="B47" s="22" t="s">
        <v>83</v>
      </c>
      <c r="C47" s="41">
        <v>68.333333333333329</v>
      </c>
      <c r="D47" s="41">
        <v>89.666666666666671</v>
      </c>
      <c r="E47" s="40"/>
      <c r="F47" s="40"/>
      <c r="G47" s="41">
        <v>80.666666666666671</v>
      </c>
      <c r="H47" s="41">
        <v>69.333333333333329</v>
      </c>
      <c r="I47" s="41"/>
      <c r="J47" s="41"/>
      <c r="K47" s="41"/>
      <c r="L47" s="41">
        <v>52.333333333333336</v>
      </c>
      <c r="M47" s="40"/>
      <c r="N47" s="41">
        <v>71.333333333333329</v>
      </c>
      <c r="O47" s="40"/>
      <c r="P47" s="40"/>
      <c r="Q47" s="40"/>
      <c r="R47" s="41">
        <v>64</v>
      </c>
      <c r="S47" s="40"/>
      <c r="T47" s="40"/>
      <c r="U47" s="40"/>
      <c r="V47" s="40"/>
      <c r="W47" s="41"/>
      <c r="X47" s="40"/>
      <c r="Y47" s="41"/>
      <c r="Z47" s="40"/>
      <c r="AA47" s="41">
        <v>68.666666666666671</v>
      </c>
      <c r="AB47" s="32">
        <f t="shared" si="2"/>
        <v>564.33333333333326</v>
      </c>
      <c r="AC47" s="18"/>
      <c r="AD47" s="13">
        <f t="shared" si="3"/>
        <v>70.541666666666657</v>
      </c>
    </row>
    <row r="48" spans="1:30" x14ac:dyDescent="0.3">
      <c r="A48" s="7">
        <v>39</v>
      </c>
      <c r="B48" s="22" t="s">
        <v>43</v>
      </c>
      <c r="C48" s="41">
        <v>69</v>
      </c>
      <c r="D48" s="41">
        <v>91.333333333333329</v>
      </c>
      <c r="E48" s="41">
        <v>54.333333333333336</v>
      </c>
      <c r="F48" s="41"/>
      <c r="G48" s="40"/>
      <c r="H48" s="41"/>
      <c r="I48" s="40"/>
      <c r="J48" s="40"/>
      <c r="K48" s="40"/>
      <c r="L48" s="41">
        <v>69.333333333333329</v>
      </c>
      <c r="M48" s="41">
        <v>60.666666666666664</v>
      </c>
      <c r="N48" s="40"/>
      <c r="O48" s="41">
        <v>78.333333333333329</v>
      </c>
      <c r="P48" s="41">
        <v>63</v>
      </c>
      <c r="Q48" s="40"/>
      <c r="R48" s="40"/>
      <c r="S48" s="40"/>
      <c r="T48" s="40"/>
      <c r="U48" s="41"/>
      <c r="V48" s="40"/>
      <c r="W48" s="40"/>
      <c r="X48" s="41"/>
      <c r="Y48" s="40"/>
      <c r="Z48" s="41">
        <v>56.666666666666664</v>
      </c>
      <c r="AA48" s="41">
        <v>85</v>
      </c>
      <c r="AB48" s="32">
        <f t="shared" si="2"/>
        <v>627.66666666666663</v>
      </c>
      <c r="AC48" s="18"/>
      <c r="AD48" s="13">
        <f t="shared" si="3"/>
        <v>69.740740740740733</v>
      </c>
    </row>
    <row r="49" spans="1:30" x14ac:dyDescent="0.3">
      <c r="A49" s="7">
        <v>40</v>
      </c>
      <c r="B49" s="22" t="s">
        <v>64</v>
      </c>
      <c r="C49" s="41">
        <v>68.333333333333329</v>
      </c>
      <c r="D49" s="41">
        <v>82.333333333333329</v>
      </c>
      <c r="E49" s="41"/>
      <c r="F49" s="40">
        <v>68.666666666666671</v>
      </c>
      <c r="G49" s="41"/>
      <c r="H49" s="41">
        <v>77.333333333333329</v>
      </c>
      <c r="I49" s="41"/>
      <c r="J49" s="40"/>
      <c r="K49" s="41"/>
      <c r="L49" s="41">
        <v>81.333333333333329</v>
      </c>
      <c r="M49" s="41">
        <v>40.333333333333336</v>
      </c>
      <c r="N49" s="41"/>
      <c r="O49" s="40"/>
      <c r="P49" s="40"/>
      <c r="Q49" s="40"/>
      <c r="R49" s="41"/>
      <c r="S49" s="40"/>
      <c r="T49" s="40"/>
      <c r="U49" s="41">
        <v>60.666666666666664</v>
      </c>
      <c r="V49" s="41"/>
      <c r="W49" s="41"/>
      <c r="X49" s="41"/>
      <c r="Y49" s="40"/>
      <c r="Z49" s="41"/>
      <c r="AA49" s="41">
        <v>73</v>
      </c>
      <c r="AB49" s="32">
        <f t="shared" si="2"/>
        <v>552</v>
      </c>
      <c r="AC49" s="18"/>
      <c r="AD49" s="13">
        <f t="shared" si="3"/>
        <v>69</v>
      </c>
    </row>
    <row r="50" spans="1:30" x14ac:dyDescent="0.3">
      <c r="A50" s="7">
        <v>41</v>
      </c>
      <c r="B50" s="22" t="s">
        <v>88</v>
      </c>
      <c r="C50" s="41">
        <v>76.333333333333329</v>
      </c>
      <c r="D50" s="41">
        <v>84.666666666666671</v>
      </c>
      <c r="E50" s="41"/>
      <c r="F50" s="41"/>
      <c r="G50" s="41">
        <v>65.333333333333329</v>
      </c>
      <c r="H50" s="41">
        <v>64.333333333333329</v>
      </c>
      <c r="I50" s="41"/>
      <c r="J50" s="40"/>
      <c r="K50" s="41"/>
      <c r="L50" s="41">
        <v>70</v>
      </c>
      <c r="M50" s="41"/>
      <c r="N50" s="41">
        <v>74.333333333333329</v>
      </c>
      <c r="O50" s="40"/>
      <c r="P50" s="40"/>
      <c r="Q50" s="40"/>
      <c r="R50" s="41">
        <v>54.333333333333336</v>
      </c>
      <c r="S50" s="40"/>
      <c r="T50" s="40"/>
      <c r="U50" s="41"/>
      <c r="V50" s="40"/>
      <c r="W50" s="41"/>
      <c r="X50" s="41"/>
      <c r="Y50" s="40"/>
      <c r="Z50" s="41"/>
      <c r="AA50" s="41">
        <v>58.666666666666664</v>
      </c>
      <c r="AB50" s="32">
        <f t="shared" si="2"/>
        <v>547.99999999999989</v>
      </c>
      <c r="AC50" s="18"/>
      <c r="AD50" s="13">
        <f t="shared" si="3"/>
        <v>68.499999999999986</v>
      </c>
    </row>
    <row r="51" spans="1:30" x14ac:dyDescent="0.3">
      <c r="A51" s="7">
        <v>42</v>
      </c>
      <c r="B51" s="22" t="s">
        <v>32</v>
      </c>
      <c r="C51" s="41">
        <v>63.666666666666664</v>
      </c>
      <c r="D51" s="41">
        <v>74.333333333333329</v>
      </c>
      <c r="E51" s="41">
        <v>80.666666666666671</v>
      </c>
      <c r="F51" s="41"/>
      <c r="G51" s="40"/>
      <c r="H51" s="40"/>
      <c r="I51" s="40"/>
      <c r="J51" s="40"/>
      <c r="K51" s="40"/>
      <c r="L51" s="41">
        <v>66.666666666666671</v>
      </c>
      <c r="M51" s="41">
        <v>70.333333333333329</v>
      </c>
      <c r="N51" s="40"/>
      <c r="O51" s="41">
        <v>68.333333333333329</v>
      </c>
      <c r="P51" s="41">
        <v>55.333333333333336</v>
      </c>
      <c r="Q51" s="41"/>
      <c r="R51" s="40"/>
      <c r="S51" s="40"/>
      <c r="T51" s="40"/>
      <c r="U51" s="41"/>
      <c r="V51" s="40"/>
      <c r="W51" s="40"/>
      <c r="X51" s="41"/>
      <c r="Y51" s="40"/>
      <c r="Z51" s="41">
        <v>61.333333333333336</v>
      </c>
      <c r="AA51" s="41">
        <v>74.666666666666671</v>
      </c>
      <c r="AB51" s="32">
        <f t="shared" si="2"/>
        <v>615.33333333333326</v>
      </c>
      <c r="AC51" s="18"/>
      <c r="AD51" s="13">
        <f t="shared" si="3"/>
        <v>68.370370370370367</v>
      </c>
    </row>
    <row r="52" spans="1:30" x14ac:dyDescent="0.3">
      <c r="A52" s="7">
        <v>43</v>
      </c>
      <c r="B52" s="22" t="s">
        <v>61</v>
      </c>
      <c r="C52" s="41">
        <v>80.666666666666671</v>
      </c>
      <c r="D52" s="41">
        <v>83</v>
      </c>
      <c r="E52" s="41">
        <v>67.333333333333329</v>
      </c>
      <c r="F52" s="41"/>
      <c r="G52" s="41"/>
      <c r="H52" s="41"/>
      <c r="I52" s="40"/>
      <c r="J52" s="40"/>
      <c r="K52" s="40"/>
      <c r="L52" s="41">
        <v>69.666666666666671</v>
      </c>
      <c r="M52" s="41">
        <v>61.333333333333336</v>
      </c>
      <c r="N52" s="40"/>
      <c r="O52" s="41"/>
      <c r="P52" s="41"/>
      <c r="Q52" s="41"/>
      <c r="R52" s="40"/>
      <c r="S52" s="40"/>
      <c r="T52" s="41"/>
      <c r="U52" s="41">
        <v>55.666666666666664</v>
      </c>
      <c r="V52" s="40"/>
      <c r="W52" s="40"/>
      <c r="X52" s="40">
        <v>64</v>
      </c>
      <c r="Y52" s="40"/>
      <c r="Z52" s="41">
        <v>59.333333333333336</v>
      </c>
      <c r="AA52" s="41"/>
      <c r="AB52" s="32">
        <f t="shared" si="2"/>
        <v>541</v>
      </c>
      <c r="AC52" s="18"/>
      <c r="AD52" s="13">
        <f t="shared" si="3"/>
        <v>67.625</v>
      </c>
    </row>
    <row r="53" spans="1:30" x14ac:dyDescent="0.3">
      <c r="A53" s="7">
        <v>44</v>
      </c>
      <c r="B53" s="22" t="s">
        <v>37</v>
      </c>
      <c r="C53" s="41">
        <v>66</v>
      </c>
      <c r="D53" s="41">
        <v>78.333333333333329</v>
      </c>
      <c r="E53" s="41">
        <v>70.333333333333329</v>
      </c>
      <c r="F53" s="41"/>
      <c r="G53" s="41"/>
      <c r="H53" s="41"/>
      <c r="I53" s="40"/>
      <c r="J53" s="40"/>
      <c r="K53" s="41"/>
      <c r="L53" s="41">
        <v>60.666666666666664</v>
      </c>
      <c r="M53" s="41">
        <v>62.333333333333336</v>
      </c>
      <c r="N53" s="41"/>
      <c r="O53" s="40">
        <v>62.333333333333336</v>
      </c>
      <c r="P53" s="41">
        <v>61.333333333333336</v>
      </c>
      <c r="Q53" s="40"/>
      <c r="R53" s="41"/>
      <c r="S53" s="40"/>
      <c r="T53" s="41"/>
      <c r="U53" s="41"/>
      <c r="V53" s="41"/>
      <c r="W53" s="40"/>
      <c r="X53" s="40"/>
      <c r="Y53" s="40"/>
      <c r="Z53" s="41">
        <v>66.333333333333329</v>
      </c>
      <c r="AA53" s="41">
        <v>73.333333333333329</v>
      </c>
      <c r="AB53" s="32">
        <f t="shared" si="2"/>
        <v>601</v>
      </c>
      <c r="AC53" s="18"/>
      <c r="AD53" s="13">
        <f t="shared" si="3"/>
        <v>66.777777777777771</v>
      </c>
    </row>
    <row r="54" spans="1:30" x14ac:dyDescent="0.3">
      <c r="A54" s="7">
        <v>45</v>
      </c>
      <c r="B54" s="22" t="s">
        <v>87</v>
      </c>
      <c r="C54" s="41">
        <v>49.666666666666664</v>
      </c>
      <c r="D54" s="41">
        <v>90.333333333333329</v>
      </c>
      <c r="E54" s="41"/>
      <c r="F54" s="41"/>
      <c r="G54" s="41">
        <v>52.333333333333336</v>
      </c>
      <c r="H54" s="41">
        <v>58</v>
      </c>
      <c r="I54" s="41"/>
      <c r="J54" s="41"/>
      <c r="K54" s="41"/>
      <c r="L54" s="41">
        <v>56</v>
      </c>
      <c r="M54" s="41"/>
      <c r="N54" s="41">
        <v>62.666666666666664</v>
      </c>
      <c r="O54" s="41"/>
      <c r="P54" s="41"/>
      <c r="Q54" s="41"/>
      <c r="R54" s="41">
        <v>86</v>
      </c>
      <c r="S54" s="41"/>
      <c r="T54" s="41"/>
      <c r="U54" s="41"/>
      <c r="V54" s="41"/>
      <c r="W54" s="41"/>
      <c r="X54" s="41"/>
      <c r="Y54" s="41"/>
      <c r="Z54" s="41"/>
      <c r="AA54" s="41">
        <v>70.333333333333329</v>
      </c>
      <c r="AB54" s="32">
        <f t="shared" si="2"/>
        <v>525.33333333333337</v>
      </c>
      <c r="AC54" s="18"/>
      <c r="AD54" s="13">
        <f t="shared" si="3"/>
        <v>65.666666666666671</v>
      </c>
    </row>
    <row r="55" spans="1:30" x14ac:dyDescent="0.3">
      <c r="A55" s="7">
        <v>46</v>
      </c>
      <c r="B55" s="22" t="s">
        <v>40</v>
      </c>
      <c r="C55" s="41">
        <v>66.333333333333329</v>
      </c>
      <c r="D55" s="41">
        <v>91</v>
      </c>
      <c r="E55" s="41">
        <v>54.666666666666664</v>
      </c>
      <c r="F55" s="41"/>
      <c r="G55" s="41"/>
      <c r="H55" s="41"/>
      <c r="I55" s="41"/>
      <c r="J55" s="41"/>
      <c r="K55" s="41"/>
      <c r="L55" s="41">
        <v>70.666666666666671</v>
      </c>
      <c r="M55" s="41">
        <v>50</v>
      </c>
      <c r="N55" s="41"/>
      <c r="O55" s="41">
        <v>63</v>
      </c>
      <c r="P55" s="41">
        <v>58.666666666666664</v>
      </c>
      <c r="Q55" s="41"/>
      <c r="R55" s="41"/>
      <c r="S55" s="41"/>
      <c r="T55" s="41"/>
      <c r="U55" s="41"/>
      <c r="V55" s="41"/>
      <c r="W55" s="41"/>
      <c r="X55" s="41"/>
      <c r="Y55" s="41"/>
      <c r="Z55" s="41">
        <v>63</v>
      </c>
      <c r="AA55" s="41">
        <v>72</v>
      </c>
      <c r="AB55" s="32">
        <f t="shared" si="2"/>
        <v>589.33333333333326</v>
      </c>
      <c r="AC55" s="18"/>
      <c r="AD55" s="13">
        <f t="shared" si="3"/>
        <v>65.481481481481467</v>
      </c>
    </row>
    <row r="56" spans="1:30" x14ac:dyDescent="0.3">
      <c r="A56" s="7">
        <v>47</v>
      </c>
      <c r="B56" s="21" t="s">
        <v>36</v>
      </c>
      <c r="C56" s="41">
        <v>66</v>
      </c>
      <c r="D56" s="41">
        <v>76.666666666666671</v>
      </c>
      <c r="E56" s="41">
        <v>65.666666666666671</v>
      </c>
      <c r="F56" s="40"/>
      <c r="G56" s="41"/>
      <c r="H56" s="41"/>
      <c r="I56" s="40"/>
      <c r="J56" s="40"/>
      <c r="K56" s="40"/>
      <c r="L56" s="41">
        <v>58</v>
      </c>
      <c r="M56" s="41">
        <v>64.666666666666671</v>
      </c>
      <c r="N56" s="41"/>
      <c r="O56" s="40">
        <v>71.333333333333329</v>
      </c>
      <c r="P56" s="40">
        <v>51.333333333333336</v>
      </c>
      <c r="Q56" s="40"/>
      <c r="R56" s="41"/>
      <c r="S56" s="40"/>
      <c r="T56" s="40"/>
      <c r="U56" s="41"/>
      <c r="V56" s="40"/>
      <c r="W56" s="40"/>
      <c r="X56" s="41"/>
      <c r="Y56" s="40"/>
      <c r="Z56" s="41">
        <v>62</v>
      </c>
      <c r="AA56" s="41">
        <v>71.333333333333329</v>
      </c>
      <c r="AB56" s="32">
        <f t="shared" si="2"/>
        <v>587.00000000000011</v>
      </c>
      <c r="AC56" s="18"/>
      <c r="AD56" s="13">
        <f t="shared" si="3"/>
        <v>65.222222222222229</v>
      </c>
    </row>
    <row r="57" spans="1:30" x14ac:dyDescent="0.3">
      <c r="A57" s="7">
        <v>48</v>
      </c>
      <c r="B57" s="22" t="s">
        <v>60</v>
      </c>
      <c r="C57" s="41">
        <v>70</v>
      </c>
      <c r="D57" s="41">
        <v>75</v>
      </c>
      <c r="E57" s="41">
        <v>73.333333333333329</v>
      </c>
      <c r="F57" s="41"/>
      <c r="G57" s="40"/>
      <c r="H57" s="41"/>
      <c r="I57" s="40"/>
      <c r="J57" s="40"/>
      <c r="K57" s="40"/>
      <c r="L57" s="41">
        <v>62</v>
      </c>
      <c r="M57" s="41">
        <v>60.666666666666664</v>
      </c>
      <c r="N57" s="41"/>
      <c r="O57" s="41"/>
      <c r="P57" s="41"/>
      <c r="Q57" s="41"/>
      <c r="R57" s="41"/>
      <c r="S57" s="40"/>
      <c r="T57" s="40"/>
      <c r="U57" s="41">
        <v>52.666666666666664</v>
      </c>
      <c r="V57" s="40"/>
      <c r="W57" s="40"/>
      <c r="X57" s="41">
        <v>61.666666666666664</v>
      </c>
      <c r="Y57" s="40"/>
      <c r="Z57" s="41">
        <v>64</v>
      </c>
      <c r="AA57" s="41"/>
      <c r="AB57" s="32">
        <f t="shared" si="2"/>
        <v>519.33333333333337</v>
      </c>
      <c r="AC57" s="18"/>
      <c r="AD57" s="13">
        <f t="shared" si="3"/>
        <v>64.916666666666671</v>
      </c>
    </row>
    <row r="58" spans="1:30" x14ac:dyDescent="0.3">
      <c r="A58" s="7">
        <v>49</v>
      </c>
      <c r="B58" s="22" t="s">
        <v>41</v>
      </c>
      <c r="C58" s="41">
        <v>62.666666666666664</v>
      </c>
      <c r="D58" s="41">
        <v>79.333333333333329</v>
      </c>
      <c r="E58" s="40">
        <v>60</v>
      </c>
      <c r="F58" s="40"/>
      <c r="G58" s="41"/>
      <c r="H58" s="41"/>
      <c r="I58" s="40"/>
      <c r="J58" s="41"/>
      <c r="K58" s="40"/>
      <c r="L58" s="41">
        <v>58</v>
      </c>
      <c r="M58" s="41">
        <v>61.666666666666664</v>
      </c>
      <c r="N58" s="41"/>
      <c r="O58" s="40">
        <v>69.333333333333329</v>
      </c>
      <c r="P58" s="40">
        <v>50.333333333333336</v>
      </c>
      <c r="Q58" s="40"/>
      <c r="R58" s="41"/>
      <c r="S58" s="41"/>
      <c r="T58" s="41"/>
      <c r="U58" s="40"/>
      <c r="V58" s="40"/>
      <c r="W58" s="40"/>
      <c r="X58" s="40"/>
      <c r="Y58" s="41"/>
      <c r="Z58" s="40">
        <v>69.666666666666671</v>
      </c>
      <c r="AA58" s="41">
        <v>72.666666666666671</v>
      </c>
      <c r="AB58" s="32">
        <f t="shared" si="2"/>
        <v>583.66666666666663</v>
      </c>
      <c r="AC58" s="18"/>
      <c r="AD58" s="13">
        <f t="shared" si="3"/>
        <v>64.851851851851848</v>
      </c>
    </row>
    <row r="59" spans="1:30" x14ac:dyDescent="0.3">
      <c r="A59" s="7">
        <v>50</v>
      </c>
      <c r="B59" s="22" t="s">
        <v>34</v>
      </c>
      <c r="C59" s="41">
        <v>66</v>
      </c>
      <c r="D59" s="41">
        <v>74.666666666666671</v>
      </c>
      <c r="E59" s="40">
        <v>63</v>
      </c>
      <c r="F59" s="41"/>
      <c r="G59" s="41"/>
      <c r="H59" s="41"/>
      <c r="I59" s="40"/>
      <c r="J59" s="40"/>
      <c r="K59" s="40"/>
      <c r="L59" s="41">
        <v>62.666666666666664</v>
      </c>
      <c r="M59" s="41">
        <v>55.666666666666664</v>
      </c>
      <c r="N59" s="41"/>
      <c r="O59" s="40">
        <v>61.333333333333336</v>
      </c>
      <c r="P59" s="40">
        <v>59.333333333333336</v>
      </c>
      <c r="Q59" s="40"/>
      <c r="R59" s="41"/>
      <c r="S59" s="41"/>
      <c r="T59" s="41"/>
      <c r="U59" s="41"/>
      <c r="V59" s="40"/>
      <c r="W59" s="40"/>
      <c r="X59" s="40"/>
      <c r="Y59" s="40"/>
      <c r="Z59" s="40">
        <v>67.333333333333329</v>
      </c>
      <c r="AA59" s="41">
        <v>72.666666666666671</v>
      </c>
      <c r="AB59" s="32">
        <f t="shared" si="2"/>
        <v>582.66666666666663</v>
      </c>
      <c r="AC59" s="18"/>
      <c r="AD59" s="13">
        <f t="shared" si="3"/>
        <v>64.740740740740733</v>
      </c>
    </row>
    <row r="60" spans="1:30" x14ac:dyDescent="0.3">
      <c r="A60" s="7">
        <v>51</v>
      </c>
      <c r="B60" s="22" t="s">
        <v>57</v>
      </c>
      <c r="C60" s="41">
        <v>61.333333333333336</v>
      </c>
      <c r="D60" s="41">
        <v>76.666666666666671</v>
      </c>
      <c r="E60" s="41">
        <v>70</v>
      </c>
      <c r="F60" s="41"/>
      <c r="G60" s="41"/>
      <c r="H60" s="41"/>
      <c r="I60" s="41"/>
      <c r="J60" s="41"/>
      <c r="K60" s="41"/>
      <c r="L60" s="41">
        <v>64</v>
      </c>
      <c r="M60" s="41">
        <v>64</v>
      </c>
      <c r="N60" s="41"/>
      <c r="O60" s="41"/>
      <c r="P60" s="41"/>
      <c r="Q60" s="41"/>
      <c r="R60" s="41"/>
      <c r="S60" s="41"/>
      <c r="T60" s="41"/>
      <c r="U60" s="41">
        <v>53</v>
      </c>
      <c r="V60" s="41"/>
      <c r="W60" s="41"/>
      <c r="X60" s="41">
        <v>60.666666666666664</v>
      </c>
      <c r="Y60" s="41"/>
      <c r="Z60" s="41">
        <v>64</v>
      </c>
      <c r="AA60" s="41"/>
      <c r="AB60" s="32">
        <f t="shared" si="2"/>
        <v>513.66666666666674</v>
      </c>
      <c r="AC60" s="18"/>
      <c r="AD60" s="13">
        <f t="shared" si="3"/>
        <v>64.208333333333343</v>
      </c>
    </row>
    <row r="61" spans="1:30" x14ac:dyDescent="0.3">
      <c r="A61" s="7">
        <v>52</v>
      </c>
      <c r="B61" s="22" t="s">
        <v>145</v>
      </c>
      <c r="C61" s="41">
        <v>47.666666666666664</v>
      </c>
      <c r="D61" s="41">
        <v>74</v>
      </c>
      <c r="E61" s="41"/>
      <c r="F61" s="41"/>
      <c r="G61" s="41"/>
      <c r="H61" s="41"/>
      <c r="I61" s="41">
        <v>71</v>
      </c>
      <c r="J61" s="40"/>
      <c r="K61" s="41">
        <v>80</v>
      </c>
      <c r="L61" s="41">
        <v>58</v>
      </c>
      <c r="M61" s="41"/>
      <c r="N61" s="41">
        <v>54.333333333333336</v>
      </c>
      <c r="O61" s="40"/>
      <c r="P61" s="40"/>
      <c r="Q61" s="40"/>
      <c r="R61" s="41"/>
      <c r="S61" s="40"/>
      <c r="T61" s="40"/>
      <c r="U61" s="41"/>
      <c r="V61" s="40"/>
      <c r="W61" s="41">
        <v>63</v>
      </c>
      <c r="X61" s="41"/>
      <c r="Y61" s="40"/>
      <c r="Z61" s="41"/>
      <c r="AA61" s="41">
        <v>62.333333333333336</v>
      </c>
      <c r="AB61" s="32">
        <f t="shared" si="2"/>
        <v>510.33333333333326</v>
      </c>
      <c r="AC61" s="18"/>
      <c r="AD61" s="13">
        <f t="shared" si="3"/>
        <v>63.791666666666657</v>
      </c>
    </row>
    <row r="62" spans="1:30" x14ac:dyDescent="0.3">
      <c r="A62" s="7">
        <v>53</v>
      </c>
      <c r="B62" s="22" t="s">
        <v>39</v>
      </c>
      <c r="C62" s="41">
        <v>62.333333333333336</v>
      </c>
      <c r="D62" s="41">
        <v>76.666666666666671</v>
      </c>
      <c r="E62" s="41">
        <v>56</v>
      </c>
      <c r="F62" s="41"/>
      <c r="G62" s="41"/>
      <c r="H62" s="41"/>
      <c r="I62" s="40"/>
      <c r="J62" s="40"/>
      <c r="K62" s="40"/>
      <c r="L62" s="41">
        <v>55.333333333333336</v>
      </c>
      <c r="M62" s="41">
        <v>67.333333333333329</v>
      </c>
      <c r="N62" s="41"/>
      <c r="O62" s="40">
        <v>63</v>
      </c>
      <c r="P62" s="41">
        <v>65.333333333333329</v>
      </c>
      <c r="Q62" s="41"/>
      <c r="R62" s="41"/>
      <c r="S62" s="40"/>
      <c r="T62" s="40"/>
      <c r="U62" s="41"/>
      <c r="V62" s="40"/>
      <c r="W62" s="40"/>
      <c r="X62" s="41"/>
      <c r="Y62" s="40"/>
      <c r="Z62" s="41">
        <v>57</v>
      </c>
      <c r="AA62" s="41">
        <v>69</v>
      </c>
      <c r="AB62" s="32">
        <f t="shared" si="2"/>
        <v>572</v>
      </c>
      <c r="AC62" s="18"/>
      <c r="AD62" s="13">
        <f t="shared" si="3"/>
        <v>63.555555555555557</v>
      </c>
    </row>
    <row r="63" spans="1:30" x14ac:dyDescent="0.3">
      <c r="A63" s="7">
        <v>54</v>
      </c>
      <c r="B63" s="22" t="s">
        <v>117</v>
      </c>
      <c r="C63" s="41">
        <v>38.333333333333336</v>
      </c>
      <c r="D63" s="41">
        <v>84.333333333333329</v>
      </c>
      <c r="E63" s="41"/>
      <c r="F63" s="41"/>
      <c r="G63" s="41"/>
      <c r="H63" s="41">
        <v>65.333333333333329</v>
      </c>
      <c r="I63" s="41"/>
      <c r="J63" s="41"/>
      <c r="K63" s="41"/>
      <c r="L63" s="41">
        <v>44.333333333333336</v>
      </c>
      <c r="M63" s="41">
        <v>42.333333333333336</v>
      </c>
      <c r="N63" s="41"/>
      <c r="O63" s="41"/>
      <c r="P63" s="41"/>
      <c r="Q63" s="41"/>
      <c r="R63" s="41"/>
      <c r="S63" s="41">
        <v>76.333333333333329</v>
      </c>
      <c r="T63" s="41">
        <v>81.666666666666671</v>
      </c>
      <c r="U63" s="41"/>
      <c r="V63" s="41"/>
      <c r="W63" s="41"/>
      <c r="X63" s="41"/>
      <c r="Y63" s="41"/>
      <c r="Z63" s="41"/>
      <c r="AA63" s="41">
        <v>73.666666666666671</v>
      </c>
      <c r="AB63" s="32">
        <f t="shared" si="2"/>
        <v>506.33333333333337</v>
      </c>
      <c r="AC63" s="18"/>
      <c r="AD63" s="13">
        <f t="shared" si="3"/>
        <v>63.291666666666671</v>
      </c>
    </row>
    <row r="64" spans="1:30" x14ac:dyDescent="0.3">
      <c r="A64" s="7">
        <v>55</v>
      </c>
      <c r="B64" s="22" t="s">
        <v>113</v>
      </c>
      <c r="C64" s="41">
        <v>36</v>
      </c>
      <c r="D64" s="41">
        <v>82.666666666666671</v>
      </c>
      <c r="E64" s="40"/>
      <c r="F64" s="41"/>
      <c r="G64" s="41"/>
      <c r="H64" s="41">
        <v>55</v>
      </c>
      <c r="I64" s="41"/>
      <c r="J64" s="40"/>
      <c r="K64" s="41"/>
      <c r="L64" s="41">
        <v>40</v>
      </c>
      <c r="M64" s="41">
        <v>47</v>
      </c>
      <c r="N64" s="41"/>
      <c r="O64" s="41"/>
      <c r="P64" s="40"/>
      <c r="Q64" s="41"/>
      <c r="R64" s="41"/>
      <c r="S64" s="40">
        <v>86.333333333333329</v>
      </c>
      <c r="T64" s="41">
        <v>79.666666666666671</v>
      </c>
      <c r="U64" s="41"/>
      <c r="V64" s="40"/>
      <c r="W64" s="41"/>
      <c r="X64" s="40"/>
      <c r="Y64" s="40"/>
      <c r="Z64" s="40"/>
      <c r="AA64" s="41">
        <v>79.333333333333329</v>
      </c>
      <c r="AB64" s="32">
        <f t="shared" si="2"/>
        <v>506</v>
      </c>
      <c r="AC64" s="18"/>
      <c r="AD64" s="13">
        <f t="shared" si="3"/>
        <v>63.25</v>
      </c>
    </row>
    <row r="65" spans="1:30" x14ac:dyDescent="0.3">
      <c r="A65" s="7">
        <v>56</v>
      </c>
      <c r="B65" s="22" t="s">
        <v>151</v>
      </c>
      <c r="C65" s="41">
        <v>38.333333333333336</v>
      </c>
      <c r="D65" s="41">
        <v>68.666666666666671</v>
      </c>
      <c r="E65" s="41"/>
      <c r="F65" s="41"/>
      <c r="G65" s="41"/>
      <c r="H65" s="41"/>
      <c r="I65" s="40">
        <v>79</v>
      </c>
      <c r="J65" s="41"/>
      <c r="K65" s="40">
        <v>70</v>
      </c>
      <c r="L65" s="41">
        <v>36</v>
      </c>
      <c r="M65" s="41"/>
      <c r="N65" s="41">
        <v>64.666666666666671</v>
      </c>
      <c r="O65" s="40"/>
      <c r="P65" s="40"/>
      <c r="Q65" s="40"/>
      <c r="R65" s="41"/>
      <c r="S65" s="40"/>
      <c r="T65" s="40"/>
      <c r="U65" s="41"/>
      <c r="V65" s="40"/>
      <c r="W65" s="40">
        <v>65.333333333333329</v>
      </c>
      <c r="X65" s="41"/>
      <c r="Y65" s="41"/>
      <c r="Z65" s="41"/>
      <c r="AA65" s="41">
        <v>77</v>
      </c>
      <c r="AB65" s="32">
        <f t="shared" si="2"/>
        <v>499</v>
      </c>
      <c r="AC65" s="18"/>
      <c r="AD65" s="13">
        <f t="shared" si="3"/>
        <v>62.375</v>
      </c>
    </row>
    <row r="66" spans="1:30" x14ac:dyDescent="0.3">
      <c r="A66" s="7">
        <v>57</v>
      </c>
      <c r="B66" s="22" t="s">
        <v>150</v>
      </c>
      <c r="C66" s="41">
        <v>60</v>
      </c>
      <c r="D66" s="41">
        <v>69.333333333333329</v>
      </c>
      <c r="E66" s="41"/>
      <c r="F66" s="41"/>
      <c r="G66" s="41"/>
      <c r="H66" s="41"/>
      <c r="I66" s="41">
        <v>60.333333333333336</v>
      </c>
      <c r="J66" s="40"/>
      <c r="K66" s="41">
        <v>57.333333333333336</v>
      </c>
      <c r="L66" s="41">
        <v>46.666666666666664</v>
      </c>
      <c r="M66" s="41"/>
      <c r="N66" s="41">
        <v>67.333333333333329</v>
      </c>
      <c r="O66" s="41"/>
      <c r="P66" s="41"/>
      <c r="Q66" s="40"/>
      <c r="R66" s="41"/>
      <c r="S66" s="40"/>
      <c r="T66" s="41"/>
      <c r="U66" s="41"/>
      <c r="V66" s="40"/>
      <c r="W66" s="41">
        <v>75.333333333333329</v>
      </c>
      <c r="X66" s="41"/>
      <c r="Y66" s="40"/>
      <c r="Z66" s="41"/>
      <c r="AA66" s="41">
        <v>62.333333333333336</v>
      </c>
      <c r="AB66" s="32">
        <f t="shared" si="2"/>
        <v>498.66666666666663</v>
      </c>
      <c r="AC66" s="18"/>
      <c r="AD66" s="13">
        <f t="shared" si="3"/>
        <v>62.333333333333329</v>
      </c>
    </row>
    <row r="67" spans="1:30" x14ac:dyDescent="0.3">
      <c r="A67" s="7">
        <v>58</v>
      </c>
      <c r="B67" s="22" t="s">
        <v>42</v>
      </c>
      <c r="C67" s="41">
        <v>57.333333333333336</v>
      </c>
      <c r="D67" s="41">
        <v>81.333333333333329</v>
      </c>
      <c r="E67" s="41">
        <v>59.333333333333336</v>
      </c>
      <c r="F67" s="41"/>
      <c r="G67" s="40"/>
      <c r="H67" s="41"/>
      <c r="I67" s="40"/>
      <c r="J67" s="41"/>
      <c r="K67" s="40"/>
      <c r="L67" s="41">
        <v>60.333333333333336</v>
      </c>
      <c r="M67" s="41">
        <v>57</v>
      </c>
      <c r="N67" s="41"/>
      <c r="O67" s="40">
        <v>55</v>
      </c>
      <c r="P67" s="40">
        <v>60</v>
      </c>
      <c r="Q67" s="41"/>
      <c r="R67" s="40"/>
      <c r="S67" s="40"/>
      <c r="T67" s="41"/>
      <c r="U67" s="41"/>
      <c r="V67" s="40"/>
      <c r="W67" s="40"/>
      <c r="X67" s="41"/>
      <c r="Y67" s="41"/>
      <c r="Z67" s="41">
        <v>55</v>
      </c>
      <c r="AA67" s="41">
        <v>68.666666666666671</v>
      </c>
      <c r="AB67" s="32">
        <f t="shared" si="2"/>
        <v>554</v>
      </c>
      <c r="AC67" s="18"/>
      <c r="AD67" s="13">
        <f t="shared" si="3"/>
        <v>61.555555555555557</v>
      </c>
    </row>
    <row r="68" spans="1:30" x14ac:dyDescent="0.3">
      <c r="A68" s="7">
        <v>59</v>
      </c>
      <c r="B68" s="22" t="s">
        <v>134</v>
      </c>
      <c r="C68" s="41">
        <v>41.666666666666664</v>
      </c>
      <c r="D68" s="41">
        <v>71.333333333333329</v>
      </c>
      <c r="E68" s="41"/>
      <c r="F68" s="41"/>
      <c r="G68" s="41"/>
      <c r="H68" s="41"/>
      <c r="I68" s="41"/>
      <c r="J68" s="41">
        <v>74.666666666666671</v>
      </c>
      <c r="K68" s="41"/>
      <c r="L68" s="41">
        <v>52.666666666666664</v>
      </c>
      <c r="M68" s="41"/>
      <c r="N68" s="41">
        <v>65.666666666666671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>
        <v>54.666666666666664</v>
      </c>
      <c r="Z68" s="41"/>
      <c r="AA68" s="41">
        <v>64.666666666666671</v>
      </c>
      <c r="AB68" s="32">
        <f t="shared" si="2"/>
        <v>425.33333333333337</v>
      </c>
      <c r="AC68" s="18"/>
      <c r="AD68" s="13">
        <f t="shared" si="3"/>
        <v>60.761904761904766</v>
      </c>
    </row>
    <row r="69" spans="1:30" x14ac:dyDescent="0.3">
      <c r="A69" s="7">
        <v>60</v>
      </c>
      <c r="B69" s="22" t="s">
        <v>119</v>
      </c>
      <c r="C69" s="41">
        <v>64</v>
      </c>
      <c r="D69" s="41">
        <v>58.333333333333336</v>
      </c>
      <c r="E69" s="41"/>
      <c r="F69" s="41"/>
      <c r="G69" s="41"/>
      <c r="H69" s="41">
        <v>58</v>
      </c>
      <c r="I69" s="40"/>
      <c r="J69" s="40"/>
      <c r="K69" s="40"/>
      <c r="L69" s="41">
        <v>51.333333333333336</v>
      </c>
      <c r="M69" s="41">
        <v>56</v>
      </c>
      <c r="N69" s="41"/>
      <c r="O69" s="40"/>
      <c r="P69" s="41"/>
      <c r="Q69" s="41"/>
      <c r="R69" s="41"/>
      <c r="S69" s="40">
        <v>56</v>
      </c>
      <c r="T69" s="40">
        <v>69.333333333333329</v>
      </c>
      <c r="U69" s="41"/>
      <c r="V69" s="40"/>
      <c r="W69" s="40"/>
      <c r="X69" s="41"/>
      <c r="Y69" s="40"/>
      <c r="Z69" s="41"/>
      <c r="AA69" s="41">
        <v>71.333333333333329</v>
      </c>
      <c r="AB69" s="32">
        <f t="shared" si="2"/>
        <v>484.33333333333331</v>
      </c>
      <c r="AC69" s="18"/>
      <c r="AD69" s="13">
        <f t="shared" si="3"/>
        <v>60.541666666666664</v>
      </c>
    </row>
    <row r="70" spans="1:30" x14ac:dyDescent="0.3">
      <c r="A70" s="7">
        <v>61</v>
      </c>
      <c r="B70" s="22" t="s">
        <v>148</v>
      </c>
      <c r="C70" s="41">
        <v>42.666666666666664</v>
      </c>
      <c r="D70" s="41">
        <v>83.666666666666671</v>
      </c>
      <c r="E70" s="41"/>
      <c r="F70" s="41"/>
      <c r="G70" s="40"/>
      <c r="H70" s="41"/>
      <c r="I70" s="40">
        <v>74.333333333333329</v>
      </c>
      <c r="J70" s="40"/>
      <c r="K70" s="40">
        <v>57.333333333333336</v>
      </c>
      <c r="L70" s="41">
        <v>61</v>
      </c>
      <c r="M70" s="41"/>
      <c r="N70" s="40">
        <v>54</v>
      </c>
      <c r="O70" s="41"/>
      <c r="P70" s="41"/>
      <c r="Q70" s="40"/>
      <c r="R70" s="40"/>
      <c r="S70" s="40"/>
      <c r="T70" s="40"/>
      <c r="U70" s="41"/>
      <c r="V70" s="40"/>
      <c r="W70" s="40">
        <v>55.333333333333336</v>
      </c>
      <c r="X70" s="41"/>
      <c r="Y70" s="40"/>
      <c r="Z70" s="41"/>
      <c r="AA70" s="41">
        <v>51.333333333333336</v>
      </c>
      <c r="AB70" s="32">
        <f t="shared" si="2"/>
        <v>479.66666666666663</v>
      </c>
      <c r="AC70" s="18"/>
      <c r="AD70" s="13">
        <f t="shared" si="3"/>
        <v>59.958333333333329</v>
      </c>
    </row>
    <row r="71" spans="1:30" x14ac:dyDescent="0.3">
      <c r="A71" s="7">
        <v>62</v>
      </c>
      <c r="B71" s="22" t="s">
        <v>66</v>
      </c>
      <c r="C71" s="41">
        <v>65.333333333333329</v>
      </c>
      <c r="D71" s="41">
        <v>86.333333333333329</v>
      </c>
      <c r="E71" s="41"/>
      <c r="F71" s="41">
        <v>52.666666666666664</v>
      </c>
      <c r="G71" s="41"/>
      <c r="H71" s="41">
        <v>63.333333333333336</v>
      </c>
      <c r="I71" s="40"/>
      <c r="J71" s="40"/>
      <c r="K71" s="40"/>
      <c r="L71" s="41">
        <v>53</v>
      </c>
      <c r="M71" s="41">
        <v>45.666666666666664</v>
      </c>
      <c r="N71" s="41"/>
      <c r="O71" s="41"/>
      <c r="P71" s="41"/>
      <c r="Q71" s="40"/>
      <c r="R71" s="41"/>
      <c r="S71" s="40"/>
      <c r="T71" s="40"/>
      <c r="U71" s="41">
        <v>43.333333333333336</v>
      </c>
      <c r="V71" s="40"/>
      <c r="W71" s="40"/>
      <c r="X71" s="41"/>
      <c r="Y71" s="40"/>
      <c r="Z71" s="41"/>
      <c r="AA71" s="41">
        <v>62</v>
      </c>
      <c r="AB71" s="32">
        <f t="shared" si="2"/>
        <v>471.66666666666663</v>
      </c>
      <c r="AC71" s="18"/>
      <c r="AD71" s="13">
        <f t="shared" si="3"/>
        <v>58.958333333333329</v>
      </c>
    </row>
    <row r="72" spans="1:30" x14ac:dyDescent="0.3">
      <c r="A72" s="7">
        <v>63</v>
      </c>
      <c r="B72" s="22" t="s">
        <v>38</v>
      </c>
      <c r="C72" s="41">
        <v>54</v>
      </c>
      <c r="D72" s="41">
        <v>81.333333333333329</v>
      </c>
      <c r="E72" s="41">
        <v>65</v>
      </c>
      <c r="F72" s="41"/>
      <c r="G72" s="40"/>
      <c r="H72" s="40"/>
      <c r="I72" s="40"/>
      <c r="J72" s="40"/>
      <c r="K72" s="40"/>
      <c r="L72" s="41">
        <v>52.333333333333336</v>
      </c>
      <c r="M72" s="41">
        <v>54</v>
      </c>
      <c r="N72" s="40"/>
      <c r="O72" s="41">
        <v>61</v>
      </c>
      <c r="P72" s="41">
        <v>43.333333333333336</v>
      </c>
      <c r="Q72" s="41"/>
      <c r="R72" s="40"/>
      <c r="S72" s="40"/>
      <c r="T72" s="40"/>
      <c r="U72" s="41"/>
      <c r="V72" s="40"/>
      <c r="W72" s="40"/>
      <c r="X72" s="41"/>
      <c r="Y72" s="40"/>
      <c r="Z72" s="41">
        <v>45.333333333333336</v>
      </c>
      <c r="AA72" s="41">
        <v>65.333333333333329</v>
      </c>
      <c r="AB72" s="32">
        <f t="shared" si="2"/>
        <v>521.66666666666663</v>
      </c>
      <c r="AC72" s="18"/>
      <c r="AD72" s="13">
        <f t="shared" si="3"/>
        <v>57.962962962962962</v>
      </c>
    </row>
    <row r="73" spans="1:30" x14ac:dyDescent="0.3">
      <c r="A73" s="7">
        <v>64</v>
      </c>
      <c r="B73" s="22" t="s">
        <v>156</v>
      </c>
      <c r="C73" s="41">
        <v>55.666666666666664</v>
      </c>
      <c r="D73" s="41">
        <v>69</v>
      </c>
      <c r="E73" s="41"/>
      <c r="F73" s="41"/>
      <c r="G73" s="41"/>
      <c r="H73" s="41"/>
      <c r="I73" s="41">
        <v>51.333333333333336</v>
      </c>
      <c r="J73" s="41"/>
      <c r="K73" s="41">
        <v>68.666666666666671</v>
      </c>
      <c r="L73" s="41">
        <v>38.333333333333336</v>
      </c>
      <c r="M73" s="41"/>
      <c r="N73" s="41">
        <v>59.333333333333336</v>
      </c>
      <c r="O73" s="41"/>
      <c r="P73" s="41"/>
      <c r="Q73" s="41"/>
      <c r="R73" s="41"/>
      <c r="S73" s="41"/>
      <c r="T73" s="41"/>
      <c r="U73" s="41"/>
      <c r="V73" s="41"/>
      <c r="W73" s="41">
        <v>65.666666666666671</v>
      </c>
      <c r="X73" s="41"/>
      <c r="Y73" s="41"/>
      <c r="Z73" s="41"/>
      <c r="AA73" s="41">
        <v>54.666666666666664</v>
      </c>
      <c r="AB73" s="32">
        <f t="shared" si="2"/>
        <v>462.66666666666669</v>
      </c>
      <c r="AC73" s="18"/>
      <c r="AD73" s="13">
        <f t="shared" si="3"/>
        <v>57.833333333333336</v>
      </c>
    </row>
    <row r="74" spans="1:30" x14ac:dyDescent="0.3">
      <c r="A74" s="7">
        <v>65</v>
      </c>
      <c r="B74" s="22" t="s">
        <v>139</v>
      </c>
      <c r="C74" s="41">
        <v>42.333333333333336</v>
      </c>
      <c r="D74" s="41">
        <v>69</v>
      </c>
      <c r="E74" s="41"/>
      <c r="F74" s="41"/>
      <c r="G74" s="41"/>
      <c r="H74" s="41"/>
      <c r="I74" s="40"/>
      <c r="J74" s="40">
        <v>61.666666666666664</v>
      </c>
      <c r="K74" s="40"/>
      <c r="L74" s="41">
        <v>51</v>
      </c>
      <c r="M74" s="41"/>
      <c r="N74" s="41">
        <v>56.666666666666664</v>
      </c>
      <c r="O74" s="40"/>
      <c r="P74" s="40"/>
      <c r="Q74" s="40"/>
      <c r="R74" s="41"/>
      <c r="S74" s="40"/>
      <c r="T74" s="40"/>
      <c r="U74" s="41"/>
      <c r="V74" s="40"/>
      <c r="W74" s="40"/>
      <c r="X74" s="41"/>
      <c r="Y74" s="40">
        <v>59.666666666666664</v>
      </c>
      <c r="Z74" s="41"/>
      <c r="AA74" s="41">
        <v>62</v>
      </c>
      <c r="AB74" s="32">
        <f t="shared" si="2"/>
        <v>402.33333333333337</v>
      </c>
      <c r="AC74" s="18"/>
      <c r="AD74" s="13">
        <f t="shared" si="3"/>
        <v>57.476190476190482</v>
      </c>
    </row>
    <row r="75" spans="1:30" x14ac:dyDescent="0.3">
      <c r="A75" s="7">
        <v>66</v>
      </c>
      <c r="B75" s="22" t="s">
        <v>155</v>
      </c>
      <c r="C75" s="41">
        <v>33.666666666666664</v>
      </c>
      <c r="D75" s="41">
        <v>67.666666666666671</v>
      </c>
      <c r="E75" s="41"/>
      <c r="F75" s="41"/>
      <c r="G75" s="41"/>
      <c r="H75" s="41"/>
      <c r="I75" s="41">
        <v>67.333333333333329</v>
      </c>
      <c r="J75" s="41"/>
      <c r="K75" s="41">
        <v>61.333333333333336</v>
      </c>
      <c r="L75" s="41">
        <v>53.333333333333336</v>
      </c>
      <c r="M75" s="41"/>
      <c r="N75" s="41">
        <v>48.666666666666664</v>
      </c>
      <c r="O75" s="41"/>
      <c r="P75" s="41"/>
      <c r="Q75" s="41"/>
      <c r="R75" s="41"/>
      <c r="S75" s="41"/>
      <c r="T75" s="41"/>
      <c r="U75" s="41"/>
      <c r="V75" s="41"/>
      <c r="W75" s="41">
        <v>67.666666666666671</v>
      </c>
      <c r="X75" s="41"/>
      <c r="Y75" s="41"/>
      <c r="Z75" s="41"/>
      <c r="AA75" s="41">
        <v>58.666666666666664</v>
      </c>
      <c r="AB75" s="32">
        <f t="shared" si="2"/>
        <v>458.33333333333343</v>
      </c>
      <c r="AC75" s="18"/>
      <c r="AD75" s="13">
        <f t="shared" si="3"/>
        <v>57.291666666666679</v>
      </c>
    </row>
    <row r="76" spans="1:30" x14ac:dyDescent="0.3">
      <c r="A76" s="7">
        <v>67</v>
      </c>
      <c r="B76" s="22" t="s">
        <v>122</v>
      </c>
      <c r="C76" s="41">
        <v>42</v>
      </c>
      <c r="D76" s="41">
        <v>73.666666666666671</v>
      </c>
      <c r="E76" s="41"/>
      <c r="F76" s="41"/>
      <c r="G76" s="41"/>
      <c r="H76" s="41">
        <v>48.666666666666664</v>
      </c>
      <c r="I76" s="41"/>
      <c r="J76" s="41"/>
      <c r="K76" s="41"/>
      <c r="L76" s="41">
        <v>40.333333333333336</v>
      </c>
      <c r="M76" s="41">
        <v>49.333333333333336</v>
      </c>
      <c r="N76" s="41"/>
      <c r="O76" s="41"/>
      <c r="P76" s="41"/>
      <c r="Q76" s="41"/>
      <c r="R76" s="41"/>
      <c r="S76" s="41">
        <v>73</v>
      </c>
      <c r="T76" s="41">
        <v>69.333333333333329</v>
      </c>
      <c r="U76" s="41"/>
      <c r="V76" s="41"/>
      <c r="W76" s="41"/>
      <c r="X76" s="41"/>
      <c r="Y76" s="41"/>
      <c r="Z76" s="41"/>
      <c r="AA76" s="41">
        <v>61.666666666666664</v>
      </c>
      <c r="AB76" s="32">
        <f t="shared" si="2"/>
        <v>458</v>
      </c>
      <c r="AC76" s="18"/>
      <c r="AD76" s="13">
        <f t="shared" si="3"/>
        <v>57.25</v>
      </c>
    </row>
    <row r="77" spans="1:30" x14ac:dyDescent="0.3">
      <c r="A77" s="7">
        <v>68</v>
      </c>
      <c r="B77" s="22" t="s">
        <v>149</v>
      </c>
      <c r="C77" s="41">
        <v>52.666666666666664</v>
      </c>
      <c r="D77" s="41">
        <v>68</v>
      </c>
      <c r="E77" s="41"/>
      <c r="F77" s="41"/>
      <c r="G77" s="41"/>
      <c r="H77" s="41"/>
      <c r="I77" s="40">
        <v>53.333333333333336</v>
      </c>
      <c r="J77" s="40"/>
      <c r="K77" s="40">
        <v>50.333333333333336</v>
      </c>
      <c r="L77" s="41">
        <v>41.333333333333336</v>
      </c>
      <c r="M77" s="41"/>
      <c r="N77" s="41">
        <v>58.333333333333336</v>
      </c>
      <c r="O77" s="40"/>
      <c r="P77" s="40"/>
      <c r="Q77" s="40"/>
      <c r="R77" s="41"/>
      <c r="S77" s="41"/>
      <c r="T77" s="41"/>
      <c r="U77" s="41"/>
      <c r="V77" s="40"/>
      <c r="W77" s="40">
        <v>73.333333333333329</v>
      </c>
      <c r="X77" s="41"/>
      <c r="Y77" s="40"/>
      <c r="Z77" s="41"/>
      <c r="AA77" s="41">
        <v>59.666666666666664</v>
      </c>
      <c r="AB77" s="32">
        <f t="shared" si="2"/>
        <v>457</v>
      </c>
      <c r="AC77" s="18"/>
      <c r="AD77" s="13">
        <f t="shared" si="3"/>
        <v>57.125</v>
      </c>
    </row>
    <row r="78" spans="1:30" x14ac:dyDescent="0.3">
      <c r="A78" s="7">
        <v>69</v>
      </c>
      <c r="B78" s="22" t="s">
        <v>106</v>
      </c>
      <c r="C78" s="41">
        <v>38.333333333333336</v>
      </c>
      <c r="D78" s="41">
        <v>77</v>
      </c>
      <c r="E78" s="41"/>
      <c r="F78" s="41"/>
      <c r="G78" s="40">
        <v>56.666666666666664</v>
      </c>
      <c r="H78" s="40">
        <v>59.666666666666664</v>
      </c>
      <c r="I78" s="40"/>
      <c r="J78" s="40"/>
      <c r="K78" s="40"/>
      <c r="L78" s="41">
        <v>51</v>
      </c>
      <c r="M78" s="41"/>
      <c r="N78" s="40">
        <v>42</v>
      </c>
      <c r="O78" s="41"/>
      <c r="P78" s="41"/>
      <c r="Q78" s="41"/>
      <c r="R78" s="40">
        <v>66.666666666666671</v>
      </c>
      <c r="S78" s="40"/>
      <c r="T78" s="40"/>
      <c r="U78" s="41"/>
      <c r="V78" s="40"/>
      <c r="W78" s="40"/>
      <c r="X78" s="41"/>
      <c r="Y78" s="40"/>
      <c r="Z78" s="41"/>
      <c r="AA78" s="41">
        <v>65</v>
      </c>
      <c r="AB78" s="32">
        <f t="shared" si="2"/>
        <v>456.33333333333331</v>
      </c>
      <c r="AC78" s="18"/>
      <c r="AD78" s="13">
        <f t="shared" si="3"/>
        <v>57.041666666666664</v>
      </c>
    </row>
    <row r="79" spans="1:30" ht="123.6" x14ac:dyDescent="0.3">
      <c r="A79" s="20" t="s">
        <v>171</v>
      </c>
      <c r="B79" s="34" t="s">
        <v>172</v>
      </c>
      <c r="C79" s="39" t="s">
        <v>3</v>
      </c>
      <c r="D79" s="39" t="s">
        <v>19</v>
      </c>
      <c r="E79" s="39" t="s">
        <v>163</v>
      </c>
      <c r="F79" s="39" t="s">
        <v>20</v>
      </c>
      <c r="G79" s="39" t="s">
        <v>174</v>
      </c>
      <c r="H79" s="39" t="s">
        <v>168</v>
      </c>
      <c r="I79" s="39" t="s">
        <v>159</v>
      </c>
      <c r="J79" s="39" t="s">
        <v>140</v>
      </c>
      <c r="K79" s="39" t="s">
        <v>160</v>
      </c>
      <c r="L79" s="39" t="s">
        <v>21</v>
      </c>
      <c r="M79" s="39" t="s">
        <v>22</v>
      </c>
      <c r="N79" s="39" t="s">
        <v>169</v>
      </c>
      <c r="O79" s="39" t="s">
        <v>46</v>
      </c>
      <c r="P79" s="39" t="s">
        <v>23</v>
      </c>
      <c r="Q79" s="39" t="s">
        <v>24</v>
      </c>
      <c r="R79" s="39" t="s">
        <v>109</v>
      </c>
      <c r="S79" s="39" t="s">
        <v>123</v>
      </c>
      <c r="T79" s="39" t="s">
        <v>124</v>
      </c>
      <c r="U79" s="39" t="s">
        <v>173</v>
      </c>
      <c r="V79" s="39" t="s">
        <v>131</v>
      </c>
      <c r="W79" s="39" t="s">
        <v>179</v>
      </c>
      <c r="X79" s="39" t="s">
        <v>164</v>
      </c>
      <c r="Y79" s="39" t="s">
        <v>141</v>
      </c>
      <c r="Z79" s="39" t="s">
        <v>165</v>
      </c>
      <c r="AA79" s="39" t="s">
        <v>47</v>
      </c>
      <c r="AB79" s="31" t="s">
        <v>166</v>
      </c>
      <c r="AC79" s="12"/>
      <c r="AD79" s="29" t="s">
        <v>167</v>
      </c>
    </row>
    <row r="81" spans="1:30" x14ac:dyDescent="0.3">
      <c r="A81" s="7">
        <v>70</v>
      </c>
      <c r="B81" s="22" t="s">
        <v>85</v>
      </c>
      <c r="C81" s="41">
        <v>47.333333333333336</v>
      </c>
      <c r="D81" s="41">
        <v>72.333333333333329</v>
      </c>
      <c r="E81" s="41"/>
      <c r="F81" s="41"/>
      <c r="G81" s="40">
        <v>56.666666666666664</v>
      </c>
      <c r="H81" s="41">
        <v>42.666666666666664</v>
      </c>
      <c r="I81" s="40"/>
      <c r="J81" s="41"/>
      <c r="K81" s="40"/>
      <c r="L81" s="41">
        <v>51.666666666666664</v>
      </c>
      <c r="M81" s="41"/>
      <c r="N81" s="41">
        <v>49.333333333333336</v>
      </c>
      <c r="O81" s="41"/>
      <c r="P81" s="41"/>
      <c r="Q81" s="40"/>
      <c r="R81" s="40">
        <v>72.333333333333329</v>
      </c>
      <c r="S81" s="41"/>
      <c r="T81" s="41"/>
      <c r="U81" s="41"/>
      <c r="V81" s="40"/>
      <c r="W81" s="40"/>
      <c r="X81" s="40"/>
      <c r="Y81" s="41"/>
      <c r="Z81" s="41"/>
      <c r="AA81" s="41">
        <v>64</v>
      </c>
      <c r="AB81" s="32">
        <f t="shared" ref="AB81:AB117" si="4">SUM(C81:AA81)</f>
        <v>456.33333333333326</v>
      </c>
      <c r="AC81" s="18"/>
      <c r="AD81" s="13">
        <f t="shared" ref="AD81:AD117" si="5">AVERAGE(C81:AA81)</f>
        <v>57.041666666666657</v>
      </c>
    </row>
    <row r="82" spans="1:30" x14ac:dyDescent="0.3">
      <c r="A82" s="7">
        <v>71</v>
      </c>
      <c r="B82" s="22" t="s">
        <v>35</v>
      </c>
      <c r="C82" s="41">
        <v>59.666666666666664</v>
      </c>
      <c r="D82" s="41">
        <v>65.333333333333329</v>
      </c>
      <c r="E82" s="40">
        <v>57.666666666666664</v>
      </c>
      <c r="F82" s="40"/>
      <c r="G82" s="41"/>
      <c r="H82" s="41"/>
      <c r="I82" s="40"/>
      <c r="J82" s="40"/>
      <c r="K82" s="40"/>
      <c r="L82" s="41">
        <v>55.666666666666664</v>
      </c>
      <c r="M82" s="41">
        <v>57.666666666666664</v>
      </c>
      <c r="N82" s="41"/>
      <c r="O82" s="40">
        <v>56.666666666666664</v>
      </c>
      <c r="P82" s="40">
        <v>52.333333333333336</v>
      </c>
      <c r="Q82" s="40"/>
      <c r="R82" s="41"/>
      <c r="S82" s="41"/>
      <c r="T82" s="41"/>
      <c r="U82" s="40"/>
      <c r="V82" s="40"/>
      <c r="W82" s="40"/>
      <c r="X82" s="40"/>
      <c r="Y82" s="40"/>
      <c r="Z82" s="40">
        <v>47.666666666666664</v>
      </c>
      <c r="AA82" s="41">
        <v>58.333333333333336</v>
      </c>
      <c r="AB82" s="32">
        <f t="shared" si="4"/>
        <v>511</v>
      </c>
      <c r="AC82" s="18"/>
      <c r="AD82" s="13">
        <f t="shared" si="5"/>
        <v>56.777777777777779</v>
      </c>
    </row>
    <row r="83" spans="1:30" x14ac:dyDescent="0.3">
      <c r="A83" s="7">
        <v>72</v>
      </c>
      <c r="B83" s="22" t="s">
        <v>111</v>
      </c>
      <c r="C83" s="41">
        <v>41.333333333333336</v>
      </c>
      <c r="D83" s="41">
        <v>65</v>
      </c>
      <c r="E83" s="41"/>
      <c r="F83" s="41"/>
      <c r="G83" s="41"/>
      <c r="H83" s="41">
        <v>44.666666666666664</v>
      </c>
      <c r="I83" s="41"/>
      <c r="J83" s="41"/>
      <c r="K83" s="41"/>
      <c r="L83" s="41">
        <v>50.333333333333336</v>
      </c>
      <c r="M83" s="41">
        <v>61.333333333333336</v>
      </c>
      <c r="N83" s="41"/>
      <c r="O83" s="41"/>
      <c r="P83" s="41"/>
      <c r="Q83" s="41"/>
      <c r="R83" s="41"/>
      <c r="S83" s="41">
        <v>50.333333333333336</v>
      </c>
      <c r="T83" s="41">
        <v>68.333333333333329</v>
      </c>
      <c r="U83" s="41"/>
      <c r="V83" s="41"/>
      <c r="W83" s="41"/>
      <c r="X83" s="41"/>
      <c r="Y83" s="41"/>
      <c r="Z83" s="41"/>
      <c r="AA83" s="41">
        <v>67</v>
      </c>
      <c r="AB83" s="32">
        <f t="shared" si="4"/>
        <v>448.33333333333331</v>
      </c>
      <c r="AC83" s="18"/>
      <c r="AD83" s="13">
        <f t="shared" si="5"/>
        <v>56.041666666666664</v>
      </c>
    </row>
    <row r="84" spans="1:30" x14ac:dyDescent="0.3">
      <c r="A84" s="7">
        <v>73</v>
      </c>
      <c r="B84" s="22" t="s">
        <v>102</v>
      </c>
      <c r="C84" s="41">
        <v>35.666666666666664</v>
      </c>
      <c r="D84" s="41">
        <v>65.333333333333329</v>
      </c>
      <c r="E84" s="41"/>
      <c r="F84" s="41"/>
      <c r="G84" s="41">
        <v>71.666666666666671</v>
      </c>
      <c r="H84" s="41">
        <v>40.333333333333336</v>
      </c>
      <c r="I84" s="41"/>
      <c r="J84" s="41"/>
      <c r="K84" s="41"/>
      <c r="L84" s="41">
        <v>43.333333333333336</v>
      </c>
      <c r="M84" s="41"/>
      <c r="N84" s="41">
        <v>59</v>
      </c>
      <c r="O84" s="41"/>
      <c r="P84" s="41"/>
      <c r="Q84" s="41"/>
      <c r="R84" s="41">
        <v>59</v>
      </c>
      <c r="S84" s="41"/>
      <c r="T84" s="41"/>
      <c r="U84" s="41"/>
      <c r="V84" s="41"/>
      <c r="W84" s="41"/>
      <c r="X84" s="41"/>
      <c r="Y84" s="41"/>
      <c r="Z84" s="41"/>
      <c r="AA84" s="41">
        <v>69</v>
      </c>
      <c r="AB84" s="32">
        <f t="shared" si="4"/>
        <v>443.33333333333337</v>
      </c>
      <c r="AC84" s="18"/>
      <c r="AD84" s="13">
        <f t="shared" si="5"/>
        <v>55.416666666666671</v>
      </c>
    </row>
    <row r="85" spans="1:30" x14ac:dyDescent="0.3">
      <c r="A85" s="7">
        <v>74</v>
      </c>
      <c r="B85" s="22" t="s">
        <v>92</v>
      </c>
      <c r="C85" s="41">
        <v>38</v>
      </c>
      <c r="D85" s="41">
        <v>70.333333333333329</v>
      </c>
      <c r="E85" s="41"/>
      <c r="F85" s="41"/>
      <c r="G85" s="41">
        <v>58</v>
      </c>
      <c r="H85" s="41">
        <v>52.333333333333336</v>
      </c>
      <c r="I85" s="41"/>
      <c r="J85" s="41"/>
      <c r="K85" s="41"/>
      <c r="L85" s="41">
        <v>39.666666666666664</v>
      </c>
      <c r="M85" s="41"/>
      <c r="N85" s="41">
        <v>54</v>
      </c>
      <c r="O85" s="41"/>
      <c r="P85" s="41"/>
      <c r="Q85" s="41"/>
      <c r="R85" s="41">
        <v>65</v>
      </c>
      <c r="S85" s="41"/>
      <c r="T85" s="41"/>
      <c r="U85" s="41"/>
      <c r="V85" s="41"/>
      <c r="W85" s="41"/>
      <c r="X85" s="41"/>
      <c r="Y85" s="41"/>
      <c r="Z85" s="41"/>
      <c r="AA85" s="41">
        <v>64.666666666666671</v>
      </c>
      <c r="AB85" s="32">
        <f t="shared" si="4"/>
        <v>442</v>
      </c>
      <c r="AC85" s="18"/>
      <c r="AD85" s="13">
        <f t="shared" si="5"/>
        <v>55.25</v>
      </c>
    </row>
    <row r="86" spans="1:30" x14ac:dyDescent="0.3">
      <c r="A86" s="7">
        <v>75</v>
      </c>
      <c r="B86" s="22" t="s">
        <v>76</v>
      </c>
      <c r="C86" s="41">
        <v>53</v>
      </c>
      <c r="D86" s="41">
        <v>74.333333333333329</v>
      </c>
      <c r="E86" s="41"/>
      <c r="F86" s="41">
        <v>33.666666666666664</v>
      </c>
      <c r="G86" s="41"/>
      <c r="H86" s="41">
        <v>47</v>
      </c>
      <c r="I86" s="41"/>
      <c r="J86" s="41"/>
      <c r="K86" s="41"/>
      <c r="L86" s="41">
        <v>63</v>
      </c>
      <c r="M86" s="41">
        <v>50.333333333333336</v>
      </c>
      <c r="N86" s="41"/>
      <c r="O86" s="41"/>
      <c r="P86" s="41"/>
      <c r="Q86" s="41"/>
      <c r="R86" s="41"/>
      <c r="S86" s="41"/>
      <c r="T86" s="41"/>
      <c r="U86" s="41">
        <v>64.666666666666671</v>
      </c>
      <c r="V86" s="41"/>
      <c r="W86" s="41"/>
      <c r="X86" s="41"/>
      <c r="Y86" s="41"/>
      <c r="Z86" s="41"/>
      <c r="AA86" s="41">
        <v>55</v>
      </c>
      <c r="AB86" s="32">
        <f t="shared" si="4"/>
        <v>441</v>
      </c>
      <c r="AC86" s="18"/>
      <c r="AD86" s="13">
        <f t="shared" si="5"/>
        <v>55.125</v>
      </c>
    </row>
    <row r="87" spans="1:30" x14ac:dyDescent="0.3">
      <c r="A87" s="7">
        <v>76</v>
      </c>
      <c r="B87" s="22" t="s">
        <v>116</v>
      </c>
      <c r="C87" s="41">
        <v>39.333333333333336</v>
      </c>
      <c r="D87" s="41">
        <v>72.333333333333329</v>
      </c>
      <c r="E87" s="41"/>
      <c r="F87" s="41"/>
      <c r="G87" s="41"/>
      <c r="H87" s="41">
        <v>36</v>
      </c>
      <c r="I87" s="41"/>
      <c r="J87" s="41"/>
      <c r="K87" s="41"/>
      <c r="L87" s="41">
        <v>37.666666666666664</v>
      </c>
      <c r="M87" s="41">
        <v>47.666666666666664</v>
      </c>
      <c r="N87" s="41"/>
      <c r="O87" s="41"/>
      <c r="P87" s="41"/>
      <c r="Q87" s="41"/>
      <c r="R87" s="41"/>
      <c r="S87" s="41">
        <v>81.666666666666671</v>
      </c>
      <c r="T87" s="41">
        <v>67.666666666666671</v>
      </c>
      <c r="U87" s="41"/>
      <c r="V87" s="41"/>
      <c r="W87" s="41"/>
      <c r="X87" s="41"/>
      <c r="Y87" s="41"/>
      <c r="Z87" s="41"/>
      <c r="AA87" s="41">
        <v>52.333333333333336</v>
      </c>
      <c r="AB87" s="32">
        <f t="shared" si="4"/>
        <v>434.66666666666663</v>
      </c>
      <c r="AC87" s="18"/>
      <c r="AD87" s="13">
        <f t="shared" si="5"/>
        <v>54.333333333333329</v>
      </c>
    </row>
    <row r="88" spans="1:30" x14ac:dyDescent="0.3">
      <c r="A88" s="7">
        <v>77</v>
      </c>
      <c r="B88" s="22" t="s">
        <v>118</v>
      </c>
      <c r="C88" s="41">
        <v>43.333333333333336</v>
      </c>
      <c r="D88" s="41">
        <v>77.666666666666671</v>
      </c>
      <c r="E88" s="41"/>
      <c r="F88" s="41"/>
      <c r="G88" s="41"/>
      <c r="H88" s="41">
        <v>51.333333333333336</v>
      </c>
      <c r="I88" s="40"/>
      <c r="J88" s="40"/>
      <c r="K88" s="40"/>
      <c r="L88" s="41">
        <v>42</v>
      </c>
      <c r="M88" s="41">
        <v>42</v>
      </c>
      <c r="N88" s="41"/>
      <c r="O88" s="41"/>
      <c r="P88" s="41"/>
      <c r="Q88" s="41"/>
      <c r="R88" s="41"/>
      <c r="S88" s="40">
        <v>49</v>
      </c>
      <c r="T88" s="40">
        <v>65.666666666666671</v>
      </c>
      <c r="U88" s="41"/>
      <c r="V88" s="40"/>
      <c r="W88" s="40"/>
      <c r="X88" s="40"/>
      <c r="Y88" s="40"/>
      <c r="Z88" s="41"/>
      <c r="AA88" s="41">
        <v>62.666666666666664</v>
      </c>
      <c r="AB88" s="32">
        <f t="shared" si="4"/>
        <v>433.66666666666674</v>
      </c>
      <c r="AC88" s="18"/>
      <c r="AD88" s="13">
        <f t="shared" si="5"/>
        <v>54.208333333333343</v>
      </c>
    </row>
    <row r="89" spans="1:30" x14ac:dyDescent="0.3">
      <c r="A89" s="7">
        <v>78</v>
      </c>
      <c r="B89" s="22" t="s">
        <v>120</v>
      </c>
      <c r="C89" s="41">
        <v>35.666666666666664</v>
      </c>
      <c r="D89" s="41">
        <v>58.666666666666664</v>
      </c>
      <c r="E89" s="41"/>
      <c r="F89" s="41"/>
      <c r="G89" s="40"/>
      <c r="H89" s="41">
        <v>54.666666666666664</v>
      </c>
      <c r="I89" s="40"/>
      <c r="J89" s="41"/>
      <c r="K89" s="40"/>
      <c r="L89" s="41">
        <v>47</v>
      </c>
      <c r="M89" s="41">
        <v>49</v>
      </c>
      <c r="N89" s="41"/>
      <c r="O89" s="40"/>
      <c r="P89" s="40"/>
      <c r="Q89" s="40"/>
      <c r="R89" s="40"/>
      <c r="S89" s="41">
        <v>71</v>
      </c>
      <c r="T89" s="41">
        <v>59.666666666666664</v>
      </c>
      <c r="U89" s="41"/>
      <c r="V89" s="40"/>
      <c r="W89" s="40"/>
      <c r="X89" s="41"/>
      <c r="Y89" s="41"/>
      <c r="Z89" s="41"/>
      <c r="AA89" s="41">
        <v>54.666666666666664</v>
      </c>
      <c r="AB89" s="32">
        <f t="shared" si="4"/>
        <v>430.33333333333337</v>
      </c>
      <c r="AC89" s="18"/>
      <c r="AD89" s="13">
        <f t="shared" si="5"/>
        <v>53.791666666666671</v>
      </c>
    </row>
    <row r="90" spans="1:30" x14ac:dyDescent="0.3">
      <c r="A90" s="7">
        <v>79</v>
      </c>
      <c r="B90" s="22" t="s">
        <v>59</v>
      </c>
      <c r="C90" s="41">
        <v>56.666666666666664</v>
      </c>
      <c r="D90" s="41">
        <v>80.666666666666671</v>
      </c>
      <c r="E90" s="41">
        <v>47</v>
      </c>
      <c r="F90" s="41"/>
      <c r="G90" s="40"/>
      <c r="H90" s="41"/>
      <c r="I90" s="40"/>
      <c r="J90" s="40"/>
      <c r="K90" s="40"/>
      <c r="L90" s="41">
        <v>61.333333333333336</v>
      </c>
      <c r="M90" s="41">
        <v>32.333333333333336</v>
      </c>
      <c r="N90" s="40"/>
      <c r="O90" s="41"/>
      <c r="P90" s="41"/>
      <c r="Q90" s="41"/>
      <c r="R90" s="40"/>
      <c r="S90" s="40"/>
      <c r="T90" s="40"/>
      <c r="U90" s="41">
        <v>47.666666666666664</v>
      </c>
      <c r="V90" s="40"/>
      <c r="W90" s="40"/>
      <c r="X90" s="40">
        <v>57.333333333333336</v>
      </c>
      <c r="Y90" s="40"/>
      <c r="Z90" s="41">
        <v>47.333333333333336</v>
      </c>
      <c r="AA90" s="41"/>
      <c r="AB90" s="32">
        <f t="shared" si="4"/>
        <v>430.33333333333331</v>
      </c>
      <c r="AC90" s="18"/>
      <c r="AD90" s="13">
        <f t="shared" si="5"/>
        <v>53.791666666666664</v>
      </c>
    </row>
    <row r="91" spans="1:30" x14ac:dyDescent="0.3">
      <c r="A91" s="7">
        <v>80</v>
      </c>
      <c r="B91" s="22" t="s">
        <v>133</v>
      </c>
      <c r="C91" s="41">
        <v>39</v>
      </c>
      <c r="D91" s="41">
        <v>70.333333333333329</v>
      </c>
      <c r="E91" s="41"/>
      <c r="F91" s="41"/>
      <c r="G91" s="41"/>
      <c r="H91" s="41"/>
      <c r="I91" s="41"/>
      <c r="J91" s="41">
        <v>61.666666666666664</v>
      </c>
      <c r="K91" s="41"/>
      <c r="L91" s="41">
        <v>34.333333333333336</v>
      </c>
      <c r="M91" s="41"/>
      <c r="N91" s="41">
        <v>66.333333333333329</v>
      </c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>
        <v>52.333333333333336</v>
      </c>
      <c r="Z91" s="41"/>
      <c r="AA91" s="41">
        <v>52</v>
      </c>
      <c r="AB91" s="32">
        <f t="shared" si="4"/>
        <v>376</v>
      </c>
      <c r="AC91" s="18"/>
      <c r="AD91" s="13">
        <f t="shared" si="5"/>
        <v>53.714285714285715</v>
      </c>
    </row>
    <row r="92" spans="1:30" x14ac:dyDescent="0.3">
      <c r="A92" s="7">
        <v>81</v>
      </c>
      <c r="B92" s="22" t="s">
        <v>72</v>
      </c>
      <c r="C92" s="41">
        <v>47.333333333333336</v>
      </c>
      <c r="D92" s="41">
        <v>74.333333333333329</v>
      </c>
      <c r="E92" s="41"/>
      <c r="F92" s="41">
        <v>64</v>
      </c>
      <c r="G92" s="40"/>
      <c r="H92" s="41">
        <v>40.333333333333336</v>
      </c>
      <c r="I92" s="40"/>
      <c r="J92" s="40"/>
      <c r="K92" s="40"/>
      <c r="L92" s="41">
        <v>47</v>
      </c>
      <c r="M92" s="41">
        <v>46.666666666666664</v>
      </c>
      <c r="N92" s="40"/>
      <c r="O92" s="41"/>
      <c r="P92" s="41"/>
      <c r="Q92" s="40"/>
      <c r="R92" s="40"/>
      <c r="S92" s="41"/>
      <c r="T92" s="41"/>
      <c r="U92" s="41">
        <v>37.666666666666664</v>
      </c>
      <c r="V92" s="40"/>
      <c r="W92" s="40"/>
      <c r="X92" s="41"/>
      <c r="Y92" s="40"/>
      <c r="Z92" s="41"/>
      <c r="AA92" s="41">
        <v>71</v>
      </c>
      <c r="AB92" s="32">
        <f t="shared" si="4"/>
        <v>428.33333333333337</v>
      </c>
      <c r="AC92" s="18"/>
      <c r="AD92" s="13">
        <f t="shared" si="5"/>
        <v>53.541666666666671</v>
      </c>
    </row>
    <row r="93" spans="1:30" x14ac:dyDescent="0.3">
      <c r="A93" s="7">
        <v>82</v>
      </c>
      <c r="B93" s="22" t="s">
        <v>100</v>
      </c>
      <c r="C93" s="41">
        <v>40.666666666666664</v>
      </c>
      <c r="D93" s="41">
        <v>65.333333333333329</v>
      </c>
      <c r="E93" s="40"/>
      <c r="F93" s="40"/>
      <c r="G93" s="41">
        <v>65.333333333333329</v>
      </c>
      <c r="H93" s="41">
        <v>45.333333333333336</v>
      </c>
      <c r="I93" s="41"/>
      <c r="J93" s="40"/>
      <c r="K93" s="41"/>
      <c r="L93" s="41">
        <v>44.333333333333336</v>
      </c>
      <c r="M93" s="41"/>
      <c r="N93" s="41">
        <v>43.333333333333336</v>
      </c>
      <c r="O93" s="40"/>
      <c r="P93" s="40"/>
      <c r="Q93" s="40"/>
      <c r="R93" s="41">
        <v>76.333333333333329</v>
      </c>
      <c r="S93" s="41"/>
      <c r="T93" s="41"/>
      <c r="U93" s="40"/>
      <c r="V93" s="40"/>
      <c r="W93" s="41"/>
      <c r="X93" s="40"/>
      <c r="Y93" s="40"/>
      <c r="Z93" s="40"/>
      <c r="AA93" s="41">
        <v>46</v>
      </c>
      <c r="AB93" s="32">
        <f t="shared" si="4"/>
        <v>426.66666666666663</v>
      </c>
      <c r="AC93" s="18"/>
      <c r="AD93" s="13">
        <f t="shared" si="5"/>
        <v>53.333333333333329</v>
      </c>
    </row>
    <row r="94" spans="1:30" x14ac:dyDescent="0.3">
      <c r="A94" s="7">
        <v>83</v>
      </c>
      <c r="B94" s="22" t="s">
        <v>78</v>
      </c>
      <c r="C94" s="41">
        <v>35</v>
      </c>
      <c r="D94" s="41">
        <v>75.666666666666671</v>
      </c>
      <c r="E94" s="41"/>
      <c r="F94" s="41">
        <v>42</v>
      </c>
      <c r="G94" s="41"/>
      <c r="H94" s="41">
        <v>54.666666666666664</v>
      </c>
      <c r="I94" s="41"/>
      <c r="J94" s="41"/>
      <c r="K94" s="41"/>
      <c r="L94" s="41">
        <v>50.666666666666664</v>
      </c>
      <c r="M94" s="41">
        <v>59</v>
      </c>
      <c r="N94" s="41"/>
      <c r="O94" s="41"/>
      <c r="P94" s="41"/>
      <c r="Q94" s="41"/>
      <c r="R94" s="41"/>
      <c r="S94" s="41"/>
      <c r="T94" s="41"/>
      <c r="U94" s="41">
        <v>40.666666666666664</v>
      </c>
      <c r="V94" s="41"/>
      <c r="W94" s="41"/>
      <c r="X94" s="41"/>
      <c r="Y94" s="41"/>
      <c r="Z94" s="41"/>
      <c r="AA94" s="41">
        <v>66.666666666666671</v>
      </c>
      <c r="AB94" s="32">
        <f t="shared" si="4"/>
        <v>424.33333333333337</v>
      </c>
      <c r="AC94" s="18"/>
      <c r="AD94" s="13">
        <f t="shared" si="5"/>
        <v>53.041666666666671</v>
      </c>
    </row>
    <row r="95" spans="1:30" x14ac:dyDescent="0.3">
      <c r="A95" s="7">
        <v>84</v>
      </c>
      <c r="B95" s="22" t="s">
        <v>137</v>
      </c>
      <c r="C95" s="41">
        <v>37.666666666666664</v>
      </c>
      <c r="D95" s="41">
        <v>70</v>
      </c>
      <c r="E95" s="41"/>
      <c r="F95" s="41"/>
      <c r="G95" s="41"/>
      <c r="H95" s="41"/>
      <c r="I95" s="40"/>
      <c r="J95" s="40">
        <v>56.333333333333336</v>
      </c>
      <c r="K95" s="40"/>
      <c r="L95" s="41">
        <v>39</v>
      </c>
      <c r="M95" s="41"/>
      <c r="N95" s="41">
        <v>61.333333333333336</v>
      </c>
      <c r="O95" s="40"/>
      <c r="P95" s="41"/>
      <c r="Q95" s="41"/>
      <c r="R95" s="41"/>
      <c r="S95" s="41"/>
      <c r="T95" s="41"/>
      <c r="U95" s="41"/>
      <c r="V95" s="41"/>
      <c r="W95" s="40"/>
      <c r="X95" s="40"/>
      <c r="Y95" s="40">
        <v>46.333333333333336</v>
      </c>
      <c r="Z95" s="41"/>
      <c r="AA95" s="41">
        <v>59.333333333333336</v>
      </c>
      <c r="AB95" s="32">
        <f t="shared" si="4"/>
        <v>369.99999999999994</v>
      </c>
      <c r="AC95" s="18"/>
      <c r="AD95" s="13">
        <f t="shared" si="5"/>
        <v>52.857142857142847</v>
      </c>
    </row>
    <row r="96" spans="1:30" x14ac:dyDescent="0.3">
      <c r="A96" s="7">
        <v>85</v>
      </c>
      <c r="B96" s="22" t="s">
        <v>84</v>
      </c>
      <c r="C96" s="41">
        <v>32.666666666666664</v>
      </c>
      <c r="D96" s="41">
        <v>68.333333333333329</v>
      </c>
      <c r="E96" s="40"/>
      <c r="F96" s="41"/>
      <c r="G96" s="41">
        <v>47.666666666666664</v>
      </c>
      <c r="H96" s="41">
        <v>66.333333333333329</v>
      </c>
      <c r="I96" s="41"/>
      <c r="J96" s="41"/>
      <c r="K96" s="41"/>
      <c r="L96" s="41">
        <v>46.666666666666664</v>
      </c>
      <c r="M96" s="41"/>
      <c r="N96" s="41">
        <v>37.333333333333336</v>
      </c>
      <c r="O96" s="40"/>
      <c r="P96" s="40"/>
      <c r="Q96" s="40"/>
      <c r="R96" s="41">
        <v>74</v>
      </c>
      <c r="S96" s="40"/>
      <c r="T96" s="40"/>
      <c r="U96" s="41"/>
      <c r="V96" s="40"/>
      <c r="W96" s="41"/>
      <c r="X96" s="40"/>
      <c r="Y96" s="41"/>
      <c r="Z96" s="40"/>
      <c r="AA96" s="41">
        <v>48</v>
      </c>
      <c r="AB96" s="32">
        <f t="shared" si="4"/>
        <v>421</v>
      </c>
      <c r="AC96" s="18"/>
      <c r="AD96" s="13">
        <f t="shared" si="5"/>
        <v>52.625</v>
      </c>
    </row>
    <row r="97" spans="1:30" x14ac:dyDescent="0.3">
      <c r="A97" s="7">
        <v>86</v>
      </c>
      <c r="B97" s="22" t="s">
        <v>104</v>
      </c>
      <c r="C97" s="41">
        <v>32.666666666666664</v>
      </c>
      <c r="D97" s="41">
        <v>83.333333333333329</v>
      </c>
      <c r="E97" s="40"/>
      <c r="F97" s="41"/>
      <c r="G97" s="41">
        <v>57.666666666666664</v>
      </c>
      <c r="H97" s="41">
        <v>56</v>
      </c>
      <c r="I97" s="41"/>
      <c r="J97" s="40"/>
      <c r="K97" s="41"/>
      <c r="L97" s="41">
        <v>40.666666666666664</v>
      </c>
      <c r="M97" s="41"/>
      <c r="N97" s="41">
        <v>43.333333333333336</v>
      </c>
      <c r="O97" s="40"/>
      <c r="P97" s="40"/>
      <c r="Q97" s="40"/>
      <c r="R97" s="41">
        <v>58.333333333333336</v>
      </c>
      <c r="S97" s="41"/>
      <c r="T97" s="41"/>
      <c r="U97" s="41"/>
      <c r="V97" s="40"/>
      <c r="W97" s="41"/>
      <c r="X97" s="40"/>
      <c r="Y97" s="40"/>
      <c r="Z97" s="40"/>
      <c r="AA97" s="41">
        <v>47.333333333333336</v>
      </c>
      <c r="AB97" s="32">
        <f t="shared" si="4"/>
        <v>419.33333333333326</v>
      </c>
      <c r="AC97" s="18"/>
      <c r="AD97" s="13">
        <f t="shared" si="5"/>
        <v>52.416666666666657</v>
      </c>
    </row>
    <row r="98" spans="1:30" x14ac:dyDescent="0.3">
      <c r="A98" s="7">
        <v>87</v>
      </c>
      <c r="B98" s="22" t="s">
        <v>90</v>
      </c>
      <c r="C98" s="41">
        <v>49</v>
      </c>
      <c r="D98" s="41">
        <v>59.666666666666664</v>
      </c>
      <c r="E98" s="41"/>
      <c r="F98" s="41"/>
      <c r="G98" s="41">
        <v>52.666666666666664</v>
      </c>
      <c r="H98" s="41">
        <v>54.333333333333336</v>
      </c>
      <c r="I98" s="41"/>
      <c r="J98" s="41"/>
      <c r="K98" s="41"/>
      <c r="L98" s="41">
        <v>42</v>
      </c>
      <c r="M98" s="41"/>
      <c r="N98" s="41">
        <v>42</v>
      </c>
      <c r="O98" s="41"/>
      <c r="P98" s="41"/>
      <c r="Q98" s="41"/>
      <c r="R98" s="41">
        <v>65</v>
      </c>
      <c r="S98" s="41"/>
      <c r="T98" s="41"/>
      <c r="U98" s="41"/>
      <c r="V98" s="41"/>
      <c r="W98" s="41"/>
      <c r="X98" s="41"/>
      <c r="Y98" s="41"/>
      <c r="Z98" s="41"/>
      <c r="AA98" s="41">
        <v>53.333333333333336</v>
      </c>
      <c r="AB98" s="32">
        <f t="shared" si="4"/>
        <v>417.99999999999994</v>
      </c>
      <c r="AC98" s="18"/>
      <c r="AD98" s="13">
        <f t="shared" si="5"/>
        <v>52.249999999999993</v>
      </c>
    </row>
    <row r="99" spans="1:30" x14ac:dyDescent="0.3">
      <c r="A99" s="7">
        <v>88</v>
      </c>
      <c r="B99" s="22" t="s">
        <v>121</v>
      </c>
      <c r="C99" s="41">
        <v>41.333333333333336</v>
      </c>
      <c r="D99" s="41">
        <v>65</v>
      </c>
      <c r="E99" s="41"/>
      <c r="F99" s="41"/>
      <c r="G99" s="41"/>
      <c r="H99" s="41">
        <v>51.666666666666664</v>
      </c>
      <c r="I99" s="41"/>
      <c r="J99" s="41"/>
      <c r="K99" s="41"/>
      <c r="L99" s="41">
        <v>44.666666666666664</v>
      </c>
      <c r="M99" s="41">
        <v>44.666666666666664</v>
      </c>
      <c r="N99" s="41"/>
      <c r="O99" s="41"/>
      <c r="P99" s="41"/>
      <c r="Q99" s="41"/>
      <c r="R99" s="41"/>
      <c r="S99" s="41">
        <v>48</v>
      </c>
      <c r="T99" s="41">
        <v>76.333333333333329</v>
      </c>
      <c r="U99" s="41"/>
      <c r="V99" s="41"/>
      <c r="W99" s="41"/>
      <c r="X99" s="41"/>
      <c r="Y99" s="41"/>
      <c r="Z99" s="41"/>
      <c r="AA99" s="41">
        <v>46.333333333333336</v>
      </c>
      <c r="AB99" s="32">
        <f t="shared" si="4"/>
        <v>417.99999999999994</v>
      </c>
      <c r="AC99" s="18"/>
      <c r="AD99" s="13">
        <f t="shared" si="5"/>
        <v>52.249999999999993</v>
      </c>
    </row>
    <row r="100" spans="1:30" x14ac:dyDescent="0.3">
      <c r="A100" s="7">
        <v>89</v>
      </c>
      <c r="B100" s="22" t="s">
        <v>135</v>
      </c>
      <c r="C100" s="41">
        <v>35.666666666666664</v>
      </c>
      <c r="D100" s="41">
        <v>74.333333333333329</v>
      </c>
      <c r="E100" s="40"/>
      <c r="F100" s="40"/>
      <c r="G100" s="41"/>
      <c r="H100" s="41"/>
      <c r="I100" s="41"/>
      <c r="J100" s="40">
        <v>45</v>
      </c>
      <c r="K100" s="41"/>
      <c r="L100" s="41">
        <v>37.666666666666664</v>
      </c>
      <c r="M100" s="41"/>
      <c r="N100" s="41">
        <v>55.333333333333336</v>
      </c>
      <c r="O100" s="40"/>
      <c r="P100" s="40"/>
      <c r="Q100" s="40"/>
      <c r="R100" s="41"/>
      <c r="S100" s="41"/>
      <c r="T100" s="41"/>
      <c r="U100" s="40"/>
      <c r="V100" s="40"/>
      <c r="W100" s="41"/>
      <c r="X100" s="40"/>
      <c r="Y100" s="40">
        <v>53.666666666666664</v>
      </c>
      <c r="Z100" s="40"/>
      <c r="AA100" s="41">
        <v>63</v>
      </c>
      <c r="AB100" s="32">
        <f t="shared" si="4"/>
        <v>364.66666666666669</v>
      </c>
      <c r="AC100" s="18"/>
      <c r="AD100" s="13">
        <f t="shared" si="5"/>
        <v>52.095238095238095</v>
      </c>
    </row>
    <row r="101" spans="1:30" x14ac:dyDescent="0.3">
      <c r="A101" s="7">
        <v>90</v>
      </c>
      <c r="B101" s="22" t="s">
        <v>96</v>
      </c>
      <c r="C101" s="41">
        <v>33.333333333333336</v>
      </c>
      <c r="D101" s="41">
        <v>63</v>
      </c>
      <c r="E101" s="41"/>
      <c r="F101" s="41"/>
      <c r="G101" s="41">
        <v>41.666666666666664</v>
      </c>
      <c r="H101" s="41">
        <v>50</v>
      </c>
      <c r="I101" s="41"/>
      <c r="J101" s="41"/>
      <c r="K101" s="41"/>
      <c r="L101" s="41">
        <v>54.333333333333336</v>
      </c>
      <c r="M101" s="41"/>
      <c r="N101" s="41">
        <v>44.666666666666664</v>
      </c>
      <c r="O101" s="41"/>
      <c r="P101" s="41"/>
      <c r="Q101" s="41"/>
      <c r="R101" s="41">
        <v>69.333333333333329</v>
      </c>
      <c r="S101" s="41"/>
      <c r="T101" s="41"/>
      <c r="U101" s="41"/>
      <c r="V101" s="41"/>
      <c r="W101" s="41"/>
      <c r="X101" s="41"/>
      <c r="Y101" s="41"/>
      <c r="Z101" s="41"/>
      <c r="AA101" s="41">
        <v>59.666666666666664</v>
      </c>
      <c r="AB101" s="32">
        <f t="shared" si="4"/>
        <v>416</v>
      </c>
      <c r="AC101" s="18"/>
      <c r="AD101" s="13">
        <f t="shared" si="5"/>
        <v>52</v>
      </c>
    </row>
    <row r="102" spans="1:30" x14ac:dyDescent="0.3">
      <c r="A102" s="7">
        <v>91</v>
      </c>
      <c r="B102" s="22" t="s">
        <v>105</v>
      </c>
      <c r="C102" s="41">
        <v>36.666666666666664</v>
      </c>
      <c r="D102" s="41">
        <v>68.666666666666671</v>
      </c>
      <c r="E102" s="40"/>
      <c r="F102" s="40"/>
      <c r="G102" s="41">
        <v>42.333333333333336</v>
      </c>
      <c r="H102" s="41">
        <v>40.333333333333336</v>
      </c>
      <c r="I102" s="40"/>
      <c r="J102" s="40"/>
      <c r="K102" s="40"/>
      <c r="L102" s="41">
        <v>46</v>
      </c>
      <c r="M102" s="41"/>
      <c r="N102" s="41">
        <v>45</v>
      </c>
      <c r="O102" s="40"/>
      <c r="P102" s="40"/>
      <c r="Q102" s="40"/>
      <c r="R102" s="41">
        <v>79.333333333333329</v>
      </c>
      <c r="S102" s="41"/>
      <c r="T102" s="41"/>
      <c r="U102" s="40"/>
      <c r="V102" s="40"/>
      <c r="W102" s="40"/>
      <c r="X102" s="40"/>
      <c r="Y102" s="40"/>
      <c r="Z102" s="40"/>
      <c r="AA102" s="41">
        <v>57</v>
      </c>
      <c r="AB102" s="32">
        <f t="shared" si="4"/>
        <v>415.33333333333331</v>
      </c>
      <c r="AC102" s="18"/>
      <c r="AD102" s="13">
        <f t="shared" si="5"/>
        <v>51.916666666666664</v>
      </c>
    </row>
    <row r="103" spans="1:30" x14ac:dyDescent="0.3">
      <c r="A103" s="7">
        <v>92</v>
      </c>
      <c r="B103" s="22" t="s">
        <v>56</v>
      </c>
      <c r="C103" s="41">
        <v>53</v>
      </c>
      <c r="D103" s="41">
        <v>76</v>
      </c>
      <c r="E103" s="41">
        <v>47</v>
      </c>
      <c r="F103" s="41"/>
      <c r="G103" s="41"/>
      <c r="H103" s="41"/>
      <c r="I103" s="41"/>
      <c r="J103" s="41"/>
      <c r="K103" s="41"/>
      <c r="L103" s="41">
        <v>48</v>
      </c>
      <c r="M103" s="41">
        <v>53.333333333333336</v>
      </c>
      <c r="N103" s="41"/>
      <c r="O103" s="41"/>
      <c r="P103" s="41"/>
      <c r="Q103" s="41"/>
      <c r="R103" s="41"/>
      <c r="S103" s="41"/>
      <c r="T103" s="41"/>
      <c r="U103" s="41">
        <v>48.666666666666664</v>
      </c>
      <c r="V103" s="41"/>
      <c r="W103" s="41"/>
      <c r="X103" s="41">
        <v>46.333333333333336</v>
      </c>
      <c r="Y103" s="41"/>
      <c r="Z103" s="41">
        <v>41.666666666666664</v>
      </c>
      <c r="AA103" s="41"/>
      <c r="AB103" s="32">
        <f t="shared" si="4"/>
        <v>414</v>
      </c>
      <c r="AC103" s="18"/>
      <c r="AD103" s="13">
        <f t="shared" si="5"/>
        <v>51.75</v>
      </c>
    </row>
    <row r="104" spans="1:30" x14ac:dyDescent="0.3">
      <c r="A104" s="7">
        <v>93</v>
      </c>
      <c r="B104" s="22" t="s">
        <v>99</v>
      </c>
      <c r="C104" s="41">
        <v>41</v>
      </c>
      <c r="D104" s="41">
        <v>75</v>
      </c>
      <c r="E104" s="41"/>
      <c r="F104" s="41"/>
      <c r="G104" s="40">
        <v>44.666666666666664</v>
      </c>
      <c r="H104" s="41">
        <v>44</v>
      </c>
      <c r="I104" s="40"/>
      <c r="J104" s="40"/>
      <c r="K104" s="40"/>
      <c r="L104" s="41">
        <v>43</v>
      </c>
      <c r="M104" s="41"/>
      <c r="N104" s="41">
        <v>46</v>
      </c>
      <c r="O104" s="41"/>
      <c r="P104" s="41"/>
      <c r="Q104" s="40"/>
      <c r="R104" s="40">
        <v>63</v>
      </c>
      <c r="S104" s="40"/>
      <c r="T104" s="41"/>
      <c r="U104" s="41"/>
      <c r="V104" s="41"/>
      <c r="W104" s="40"/>
      <c r="X104" s="41"/>
      <c r="Y104" s="40"/>
      <c r="Z104" s="41"/>
      <c r="AA104" s="41">
        <v>56.666666666666664</v>
      </c>
      <c r="AB104" s="32">
        <f t="shared" si="4"/>
        <v>413.33333333333331</v>
      </c>
      <c r="AC104" s="18"/>
      <c r="AD104" s="13">
        <f t="shared" si="5"/>
        <v>51.666666666666664</v>
      </c>
    </row>
    <row r="105" spans="1:30" x14ac:dyDescent="0.3">
      <c r="A105" s="7">
        <v>94</v>
      </c>
      <c r="B105" s="22" t="s">
        <v>91</v>
      </c>
      <c r="C105" s="41">
        <v>38.666666666666664</v>
      </c>
      <c r="D105" s="41">
        <v>70</v>
      </c>
      <c r="E105" s="40"/>
      <c r="F105" s="40"/>
      <c r="G105" s="41">
        <v>53.666666666666664</v>
      </c>
      <c r="H105" s="41">
        <v>40.666666666666664</v>
      </c>
      <c r="I105" s="41"/>
      <c r="J105" s="40"/>
      <c r="K105" s="41"/>
      <c r="L105" s="41">
        <v>44.666666666666664</v>
      </c>
      <c r="M105" s="41"/>
      <c r="N105" s="41">
        <v>41.333333333333336</v>
      </c>
      <c r="O105" s="40"/>
      <c r="P105" s="41"/>
      <c r="Q105" s="40"/>
      <c r="R105" s="41">
        <v>65.333333333333329</v>
      </c>
      <c r="S105" s="41"/>
      <c r="T105" s="41"/>
      <c r="U105" s="41"/>
      <c r="V105" s="40"/>
      <c r="W105" s="41"/>
      <c r="X105" s="40"/>
      <c r="Y105" s="40"/>
      <c r="Z105" s="40"/>
      <c r="AA105" s="41">
        <v>58.333333333333336</v>
      </c>
      <c r="AB105" s="32">
        <f t="shared" si="4"/>
        <v>412.66666666666657</v>
      </c>
      <c r="AC105" s="18"/>
      <c r="AD105" s="13">
        <f t="shared" si="5"/>
        <v>51.583333333333321</v>
      </c>
    </row>
    <row r="106" spans="1:30" x14ac:dyDescent="0.3">
      <c r="A106" s="7">
        <v>95</v>
      </c>
      <c r="B106" s="22" t="s">
        <v>144</v>
      </c>
      <c r="C106" s="41">
        <v>42</v>
      </c>
      <c r="D106" s="41">
        <v>64.333333333333329</v>
      </c>
      <c r="E106" s="40"/>
      <c r="F106" s="40"/>
      <c r="G106" s="41"/>
      <c r="H106" s="41"/>
      <c r="I106" s="40">
        <v>55.333333333333336</v>
      </c>
      <c r="J106" s="41"/>
      <c r="K106" s="40">
        <v>61.666666666666664</v>
      </c>
      <c r="L106" s="41">
        <v>34.666666666666664</v>
      </c>
      <c r="M106" s="40"/>
      <c r="N106" s="41">
        <v>48.666666666666664</v>
      </c>
      <c r="O106" s="40"/>
      <c r="P106" s="40"/>
      <c r="Q106" s="40"/>
      <c r="R106" s="41"/>
      <c r="S106" s="40"/>
      <c r="T106" s="40"/>
      <c r="U106" s="40"/>
      <c r="V106" s="40"/>
      <c r="W106" s="40">
        <v>60.333333333333336</v>
      </c>
      <c r="X106" s="40"/>
      <c r="Y106" s="41"/>
      <c r="Z106" s="40"/>
      <c r="AA106" s="41">
        <v>45</v>
      </c>
      <c r="AB106" s="32">
        <f t="shared" si="4"/>
        <v>412</v>
      </c>
      <c r="AC106" s="18"/>
      <c r="AD106" s="13">
        <f t="shared" si="5"/>
        <v>51.5</v>
      </c>
    </row>
    <row r="107" spans="1:30" x14ac:dyDescent="0.3">
      <c r="A107" s="7">
        <v>96</v>
      </c>
      <c r="B107" s="22" t="s">
        <v>98</v>
      </c>
      <c r="C107" s="41">
        <v>26</v>
      </c>
      <c r="D107" s="41">
        <v>64.666666666666671</v>
      </c>
      <c r="E107" s="41"/>
      <c r="F107" s="41"/>
      <c r="G107" s="41">
        <v>68.333333333333329</v>
      </c>
      <c r="H107" s="41">
        <v>48</v>
      </c>
      <c r="I107" s="41"/>
      <c r="J107" s="41"/>
      <c r="K107" s="41"/>
      <c r="L107" s="41">
        <v>43.333333333333336</v>
      </c>
      <c r="M107" s="41"/>
      <c r="N107" s="41">
        <v>46.333333333333336</v>
      </c>
      <c r="O107" s="41"/>
      <c r="P107" s="41"/>
      <c r="Q107" s="41"/>
      <c r="R107" s="41">
        <v>54.333333333333336</v>
      </c>
      <c r="S107" s="41"/>
      <c r="T107" s="41"/>
      <c r="U107" s="41"/>
      <c r="V107" s="41"/>
      <c r="W107" s="41"/>
      <c r="X107" s="41"/>
      <c r="Y107" s="41"/>
      <c r="Z107" s="41"/>
      <c r="AA107" s="41">
        <v>57</v>
      </c>
      <c r="AB107" s="32">
        <f t="shared" si="4"/>
        <v>408</v>
      </c>
      <c r="AC107" s="18"/>
      <c r="AD107" s="13">
        <f t="shared" si="5"/>
        <v>51</v>
      </c>
    </row>
    <row r="108" spans="1:30" x14ac:dyDescent="0.3">
      <c r="A108" s="7">
        <v>97</v>
      </c>
      <c r="B108" s="22" t="s">
        <v>71</v>
      </c>
      <c r="C108" s="41">
        <v>38.666666666666664</v>
      </c>
      <c r="D108" s="41">
        <v>77</v>
      </c>
      <c r="E108" s="41"/>
      <c r="F108" s="41">
        <v>54.333333333333336</v>
      </c>
      <c r="G108" s="40"/>
      <c r="H108" s="41">
        <v>42.666666666666664</v>
      </c>
      <c r="I108" s="40"/>
      <c r="J108" s="40"/>
      <c r="K108" s="40"/>
      <c r="L108" s="41">
        <v>44</v>
      </c>
      <c r="M108" s="41">
        <v>47</v>
      </c>
      <c r="N108" s="40"/>
      <c r="O108" s="41"/>
      <c r="P108" s="41"/>
      <c r="Q108" s="40"/>
      <c r="R108" s="40"/>
      <c r="S108" s="41"/>
      <c r="T108" s="41"/>
      <c r="U108" s="41">
        <v>43.333333333333336</v>
      </c>
      <c r="V108" s="40"/>
      <c r="W108" s="40"/>
      <c r="X108" s="40"/>
      <c r="Y108" s="40"/>
      <c r="Z108" s="41"/>
      <c r="AA108" s="41">
        <v>60.666666666666664</v>
      </c>
      <c r="AB108" s="32">
        <f t="shared" si="4"/>
        <v>407.66666666666663</v>
      </c>
      <c r="AC108" s="18"/>
      <c r="AD108" s="13">
        <f t="shared" si="5"/>
        <v>50.958333333333329</v>
      </c>
    </row>
    <row r="109" spans="1:30" x14ac:dyDescent="0.3">
      <c r="A109" s="7">
        <v>98</v>
      </c>
      <c r="B109" s="22" t="s">
        <v>158</v>
      </c>
      <c r="C109" s="41">
        <v>31.333333333333332</v>
      </c>
      <c r="D109" s="41">
        <v>66</v>
      </c>
      <c r="E109" s="40"/>
      <c r="F109" s="40"/>
      <c r="G109" s="41"/>
      <c r="H109" s="41"/>
      <c r="I109" s="40">
        <v>58.666666666666664</v>
      </c>
      <c r="J109" s="40"/>
      <c r="K109" s="40">
        <v>49.666666666666664</v>
      </c>
      <c r="L109" s="41">
        <v>42.333333333333336</v>
      </c>
      <c r="M109" s="40"/>
      <c r="N109" s="41">
        <v>62.333333333333336</v>
      </c>
      <c r="O109" s="40"/>
      <c r="P109" s="40"/>
      <c r="Q109" s="40"/>
      <c r="R109" s="41"/>
      <c r="S109" s="40"/>
      <c r="T109" s="40"/>
      <c r="U109" s="40"/>
      <c r="V109" s="40"/>
      <c r="W109" s="40">
        <v>39</v>
      </c>
      <c r="X109" s="40"/>
      <c r="Y109" s="40"/>
      <c r="Z109" s="40"/>
      <c r="AA109" s="41">
        <v>56.333333333333336</v>
      </c>
      <c r="AB109" s="32">
        <f t="shared" si="4"/>
        <v>405.66666666666663</v>
      </c>
      <c r="AC109" s="18"/>
      <c r="AD109" s="13">
        <f t="shared" si="5"/>
        <v>50.708333333333329</v>
      </c>
    </row>
    <row r="110" spans="1:30" x14ac:dyDescent="0.3">
      <c r="A110" s="7">
        <v>99</v>
      </c>
      <c r="B110" s="22" t="s">
        <v>112</v>
      </c>
      <c r="C110" s="41">
        <v>45.666666666666664</v>
      </c>
      <c r="D110" s="41">
        <v>61.333333333333336</v>
      </c>
      <c r="E110" s="41"/>
      <c r="F110" s="41"/>
      <c r="G110" s="41"/>
      <c r="H110" s="41">
        <v>46.666666666666664</v>
      </c>
      <c r="I110" s="40"/>
      <c r="J110" s="40"/>
      <c r="K110" s="40"/>
      <c r="L110" s="41">
        <v>26.666666666666668</v>
      </c>
      <c r="M110" s="41">
        <v>44.666666666666664</v>
      </c>
      <c r="N110" s="41"/>
      <c r="O110" s="41"/>
      <c r="P110" s="41"/>
      <c r="Q110" s="40"/>
      <c r="R110" s="41"/>
      <c r="S110" s="40">
        <v>58</v>
      </c>
      <c r="T110" s="40">
        <v>62.666666666666664</v>
      </c>
      <c r="U110" s="41"/>
      <c r="V110" s="41"/>
      <c r="W110" s="40"/>
      <c r="X110" s="40"/>
      <c r="Y110" s="40"/>
      <c r="Z110" s="41"/>
      <c r="AA110" s="41">
        <v>59.666666666666664</v>
      </c>
      <c r="AB110" s="32">
        <f t="shared" si="4"/>
        <v>405.33333333333337</v>
      </c>
      <c r="AC110" s="18"/>
      <c r="AD110" s="13">
        <f t="shared" si="5"/>
        <v>50.666666666666671</v>
      </c>
    </row>
    <row r="111" spans="1:30" x14ac:dyDescent="0.3">
      <c r="A111" s="7">
        <v>100</v>
      </c>
      <c r="B111" s="22" t="s">
        <v>154</v>
      </c>
      <c r="C111" s="41">
        <v>40</v>
      </c>
      <c r="D111" s="41">
        <v>67.666666666666671</v>
      </c>
      <c r="E111" s="41"/>
      <c r="F111" s="41"/>
      <c r="G111" s="41"/>
      <c r="H111" s="41"/>
      <c r="I111" s="41">
        <v>48.333333333333336</v>
      </c>
      <c r="J111" s="40"/>
      <c r="K111" s="41">
        <v>47.333333333333336</v>
      </c>
      <c r="L111" s="41">
        <v>59.333333333333336</v>
      </c>
      <c r="M111" s="41"/>
      <c r="N111" s="41">
        <v>51.666666666666664</v>
      </c>
      <c r="O111" s="41"/>
      <c r="P111" s="41"/>
      <c r="Q111" s="41"/>
      <c r="R111" s="40"/>
      <c r="S111" s="41"/>
      <c r="T111" s="41"/>
      <c r="U111" s="41"/>
      <c r="V111" s="41"/>
      <c r="W111" s="41">
        <v>44.666666666666664</v>
      </c>
      <c r="X111" s="40"/>
      <c r="Y111" s="40"/>
      <c r="Z111" s="41"/>
      <c r="AA111" s="41">
        <v>38.666666666666664</v>
      </c>
      <c r="AB111" s="32">
        <f t="shared" si="4"/>
        <v>397.66666666666674</v>
      </c>
      <c r="AC111" s="18"/>
      <c r="AD111" s="13">
        <f t="shared" si="5"/>
        <v>49.708333333333343</v>
      </c>
    </row>
    <row r="112" spans="1:30" x14ac:dyDescent="0.3">
      <c r="A112" s="7">
        <v>101</v>
      </c>
      <c r="B112" s="22" t="s">
        <v>58</v>
      </c>
      <c r="C112" s="41">
        <v>58.333333333333336</v>
      </c>
      <c r="D112" s="41">
        <v>78</v>
      </c>
      <c r="E112" s="41">
        <v>39.333333333333336</v>
      </c>
      <c r="F112" s="40"/>
      <c r="G112" s="41"/>
      <c r="H112" s="41"/>
      <c r="I112" s="40"/>
      <c r="J112" s="40"/>
      <c r="K112" s="41"/>
      <c r="L112" s="41">
        <v>38.666666666666664</v>
      </c>
      <c r="M112" s="41">
        <v>42.666666666666664</v>
      </c>
      <c r="N112" s="41"/>
      <c r="O112" s="41"/>
      <c r="P112" s="41"/>
      <c r="Q112" s="40"/>
      <c r="R112" s="41"/>
      <c r="S112" s="41"/>
      <c r="T112" s="41"/>
      <c r="U112" s="41">
        <v>45.666666666666664</v>
      </c>
      <c r="V112" s="40"/>
      <c r="W112" s="40"/>
      <c r="X112" s="41">
        <v>50</v>
      </c>
      <c r="Y112" s="40"/>
      <c r="Z112" s="41">
        <v>43.333333333333336</v>
      </c>
      <c r="AA112" s="41"/>
      <c r="AB112" s="32">
        <f t="shared" si="4"/>
        <v>396</v>
      </c>
      <c r="AC112" s="18"/>
      <c r="AD112" s="13">
        <f t="shared" si="5"/>
        <v>49.5</v>
      </c>
    </row>
    <row r="113" spans="1:30" x14ac:dyDescent="0.3">
      <c r="A113" s="7">
        <v>102</v>
      </c>
      <c r="B113" s="22" t="s">
        <v>69</v>
      </c>
      <c r="C113" s="41">
        <v>40.333333333333336</v>
      </c>
      <c r="D113" s="41">
        <v>71.666666666666671</v>
      </c>
      <c r="E113" s="41"/>
      <c r="F113" s="41">
        <v>47.666666666666664</v>
      </c>
      <c r="G113" s="40"/>
      <c r="H113" s="41">
        <v>42</v>
      </c>
      <c r="I113" s="40"/>
      <c r="J113" s="40"/>
      <c r="K113" s="40"/>
      <c r="L113" s="41">
        <v>32.333333333333336</v>
      </c>
      <c r="M113" s="41">
        <v>48.666666666666664</v>
      </c>
      <c r="N113" s="41"/>
      <c r="O113" s="41"/>
      <c r="P113" s="41"/>
      <c r="Q113" s="41"/>
      <c r="R113" s="40"/>
      <c r="S113" s="40"/>
      <c r="T113" s="41"/>
      <c r="U113" s="41">
        <v>49.666666666666664</v>
      </c>
      <c r="V113" s="40"/>
      <c r="W113" s="40"/>
      <c r="X113" s="41"/>
      <c r="Y113" s="40"/>
      <c r="Z113" s="41"/>
      <c r="AA113" s="41">
        <v>63.333333333333336</v>
      </c>
      <c r="AB113" s="32">
        <f t="shared" si="4"/>
        <v>395.66666666666669</v>
      </c>
      <c r="AC113" s="18"/>
      <c r="AD113" s="13">
        <f t="shared" si="5"/>
        <v>49.458333333333336</v>
      </c>
    </row>
    <row r="114" spans="1:30" s="24" customFormat="1" ht="15" customHeight="1" x14ac:dyDescent="0.2">
      <c r="A114" s="7">
        <v>103</v>
      </c>
      <c r="B114" s="22" t="s">
        <v>97</v>
      </c>
      <c r="C114" s="41">
        <v>32</v>
      </c>
      <c r="D114" s="41">
        <v>55</v>
      </c>
      <c r="E114" s="41"/>
      <c r="F114" s="40"/>
      <c r="G114" s="41">
        <v>49</v>
      </c>
      <c r="H114" s="41">
        <v>54.333333333333336</v>
      </c>
      <c r="I114" s="40"/>
      <c r="J114" s="40"/>
      <c r="K114" s="41"/>
      <c r="L114" s="41">
        <v>44.333333333333336</v>
      </c>
      <c r="M114" s="41"/>
      <c r="N114" s="41">
        <v>43.333333333333336</v>
      </c>
      <c r="O114" s="41"/>
      <c r="P114" s="41"/>
      <c r="Q114" s="40"/>
      <c r="R114" s="41">
        <v>66.333333333333329</v>
      </c>
      <c r="S114" s="40"/>
      <c r="T114" s="41"/>
      <c r="U114" s="41"/>
      <c r="V114" s="40"/>
      <c r="W114" s="40"/>
      <c r="X114" s="40"/>
      <c r="Y114" s="40"/>
      <c r="Z114" s="41"/>
      <c r="AA114" s="41">
        <v>49</v>
      </c>
      <c r="AB114" s="32">
        <f t="shared" si="4"/>
        <v>393.33333333333331</v>
      </c>
      <c r="AC114" s="18"/>
      <c r="AD114" s="13">
        <f t="shared" si="5"/>
        <v>49.166666666666664</v>
      </c>
    </row>
    <row r="115" spans="1:30" x14ac:dyDescent="0.3">
      <c r="A115" s="7">
        <v>104</v>
      </c>
      <c r="B115" s="22" t="s">
        <v>77</v>
      </c>
      <c r="C115" s="41">
        <v>36</v>
      </c>
      <c r="D115" s="41">
        <v>80.666666666666671</v>
      </c>
      <c r="E115" s="41"/>
      <c r="F115" s="41">
        <v>45.666666666666664</v>
      </c>
      <c r="G115" s="40"/>
      <c r="H115" s="41">
        <v>31</v>
      </c>
      <c r="I115" s="40"/>
      <c r="J115" s="40"/>
      <c r="K115" s="40"/>
      <c r="L115" s="41">
        <v>55</v>
      </c>
      <c r="M115" s="41">
        <v>49.666666666666664</v>
      </c>
      <c r="N115" s="40"/>
      <c r="O115" s="40"/>
      <c r="P115" s="41"/>
      <c r="Q115" s="41"/>
      <c r="R115" s="40"/>
      <c r="S115" s="41"/>
      <c r="T115" s="41"/>
      <c r="U115" s="41">
        <v>35.333333333333336</v>
      </c>
      <c r="V115" s="40"/>
      <c r="W115" s="40"/>
      <c r="X115" s="41"/>
      <c r="Y115" s="40"/>
      <c r="Z115" s="41"/>
      <c r="AA115" s="41">
        <v>58.333333333333336</v>
      </c>
      <c r="AB115" s="32">
        <f t="shared" si="4"/>
        <v>391.66666666666663</v>
      </c>
      <c r="AC115" s="18"/>
      <c r="AD115" s="13">
        <f t="shared" si="5"/>
        <v>48.958333333333329</v>
      </c>
    </row>
    <row r="116" spans="1:30" x14ac:dyDescent="0.3">
      <c r="A116" s="7">
        <v>105</v>
      </c>
      <c r="B116" s="22" t="s">
        <v>115</v>
      </c>
      <c r="C116" s="41">
        <v>26.333333333333332</v>
      </c>
      <c r="D116" s="41">
        <v>69.666666666666671</v>
      </c>
      <c r="E116" s="41"/>
      <c r="F116" s="41"/>
      <c r="G116" s="41"/>
      <c r="H116" s="41">
        <v>54.666666666666664</v>
      </c>
      <c r="I116" s="41"/>
      <c r="J116" s="41"/>
      <c r="K116" s="41"/>
      <c r="L116" s="41">
        <v>42</v>
      </c>
      <c r="M116" s="41">
        <v>39.333333333333336</v>
      </c>
      <c r="N116" s="41"/>
      <c r="O116" s="41"/>
      <c r="P116" s="41"/>
      <c r="Q116" s="41"/>
      <c r="R116" s="41"/>
      <c r="S116" s="41">
        <v>44.666666666666664</v>
      </c>
      <c r="T116" s="41">
        <v>61.333333333333336</v>
      </c>
      <c r="U116" s="41"/>
      <c r="V116" s="41"/>
      <c r="W116" s="41"/>
      <c r="X116" s="41"/>
      <c r="Y116" s="41"/>
      <c r="Z116" s="41"/>
      <c r="AA116" s="41">
        <v>53.333333333333336</v>
      </c>
      <c r="AB116" s="32">
        <f t="shared" si="4"/>
        <v>391.33333333333331</v>
      </c>
      <c r="AC116" s="18"/>
      <c r="AD116" s="13">
        <f t="shared" si="5"/>
        <v>48.916666666666664</v>
      </c>
    </row>
    <row r="117" spans="1:30" x14ac:dyDescent="0.3">
      <c r="A117" s="7">
        <v>106</v>
      </c>
      <c r="B117" s="22" t="s">
        <v>67</v>
      </c>
      <c r="C117" s="41">
        <v>68</v>
      </c>
      <c r="D117" s="41">
        <v>70.666666666666671</v>
      </c>
      <c r="E117" s="41"/>
      <c r="F117" s="41">
        <v>29.666666666666668</v>
      </c>
      <c r="G117" s="40"/>
      <c r="H117" s="41">
        <v>31.333333333333332</v>
      </c>
      <c r="I117" s="40"/>
      <c r="J117" s="40"/>
      <c r="K117" s="40"/>
      <c r="L117" s="41">
        <v>39</v>
      </c>
      <c r="M117" s="41">
        <v>36.333333333333336</v>
      </c>
      <c r="N117" s="40"/>
      <c r="O117" s="41"/>
      <c r="P117" s="41"/>
      <c r="Q117" s="40"/>
      <c r="R117" s="40"/>
      <c r="S117" s="41"/>
      <c r="T117" s="41"/>
      <c r="U117" s="41">
        <v>56.666666666666664</v>
      </c>
      <c r="V117" s="40"/>
      <c r="W117" s="40"/>
      <c r="X117" s="41"/>
      <c r="Y117" s="40"/>
      <c r="Z117" s="41"/>
      <c r="AA117" s="41">
        <v>54</v>
      </c>
      <c r="AB117" s="32">
        <f t="shared" si="4"/>
        <v>385.66666666666669</v>
      </c>
      <c r="AC117" s="18"/>
      <c r="AD117" s="13">
        <f t="shared" si="5"/>
        <v>48.208333333333336</v>
      </c>
    </row>
    <row r="118" spans="1:30" ht="123.6" x14ac:dyDescent="0.3">
      <c r="A118" s="20" t="s">
        <v>171</v>
      </c>
      <c r="B118" s="34" t="s">
        <v>172</v>
      </c>
      <c r="C118" s="39" t="s">
        <v>3</v>
      </c>
      <c r="D118" s="39" t="s">
        <v>19</v>
      </c>
      <c r="E118" s="39" t="s">
        <v>163</v>
      </c>
      <c r="F118" s="39" t="s">
        <v>20</v>
      </c>
      <c r="G118" s="39" t="s">
        <v>174</v>
      </c>
      <c r="H118" s="39" t="s">
        <v>168</v>
      </c>
      <c r="I118" s="39" t="s">
        <v>159</v>
      </c>
      <c r="J118" s="39" t="s">
        <v>140</v>
      </c>
      <c r="K118" s="39" t="s">
        <v>160</v>
      </c>
      <c r="L118" s="39" t="s">
        <v>21</v>
      </c>
      <c r="M118" s="39" t="s">
        <v>22</v>
      </c>
      <c r="N118" s="39" t="s">
        <v>169</v>
      </c>
      <c r="O118" s="39" t="s">
        <v>46</v>
      </c>
      <c r="P118" s="39" t="s">
        <v>23</v>
      </c>
      <c r="Q118" s="39" t="s">
        <v>24</v>
      </c>
      <c r="R118" s="39" t="s">
        <v>109</v>
      </c>
      <c r="S118" s="39" t="s">
        <v>123</v>
      </c>
      <c r="T118" s="39" t="s">
        <v>124</v>
      </c>
      <c r="U118" s="39" t="s">
        <v>173</v>
      </c>
      <c r="V118" s="39" t="s">
        <v>131</v>
      </c>
      <c r="W118" s="39" t="s">
        <v>179</v>
      </c>
      <c r="X118" s="39" t="s">
        <v>164</v>
      </c>
      <c r="Y118" s="39" t="s">
        <v>141</v>
      </c>
      <c r="Z118" s="39" t="s">
        <v>165</v>
      </c>
      <c r="AA118" s="39" t="s">
        <v>47</v>
      </c>
      <c r="AB118" s="31" t="s">
        <v>166</v>
      </c>
      <c r="AC118" s="12"/>
      <c r="AD118" s="29" t="s">
        <v>167</v>
      </c>
    </row>
    <row r="120" spans="1:30" x14ac:dyDescent="0.3">
      <c r="A120" s="7">
        <v>107</v>
      </c>
      <c r="B120" s="22" t="s">
        <v>103</v>
      </c>
      <c r="C120" s="41">
        <v>33.333333333333336</v>
      </c>
      <c r="D120" s="41">
        <v>59.333333333333336</v>
      </c>
      <c r="E120" s="40"/>
      <c r="F120" s="41"/>
      <c r="G120" s="41">
        <v>43</v>
      </c>
      <c r="H120" s="41">
        <v>52</v>
      </c>
      <c r="I120" s="41"/>
      <c r="J120" s="41"/>
      <c r="K120" s="41"/>
      <c r="L120" s="41">
        <v>42.333333333333336</v>
      </c>
      <c r="M120" s="41"/>
      <c r="N120" s="41">
        <v>42</v>
      </c>
      <c r="O120" s="41"/>
      <c r="P120" s="41"/>
      <c r="Q120" s="41"/>
      <c r="R120" s="41">
        <v>58.666666666666664</v>
      </c>
      <c r="S120" s="40"/>
      <c r="T120" s="41"/>
      <c r="U120" s="41"/>
      <c r="V120" s="40"/>
      <c r="W120" s="41"/>
      <c r="X120" s="40"/>
      <c r="Y120" s="41"/>
      <c r="Z120" s="40"/>
      <c r="AA120" s="41">
        <v>52.666666666666664</v>
      </c>
      <c r="AB120" s="32">
        <f t="shared" ref="AB120:AB131" si="6">SUM(C120:AA120)</f>
        <v>383.33333333333337</v>
      </c>
      <c r="AC120" s="18"/>
      <c r="AD120" s="13">
        <f t="shared" ref="AD120:AD131" si="7">AVERAGE(C120:AA120)</f>
        <v>47.916666666666671</v>
      </c>
    </row>
    <row r="121" spans="1:30" x14ac:dyDescent="0.3">
      <c r="A121" s="7">
        <v>108</v>
      </c>
      <c r="B121" s="22" t="s">
        <v>152</v>
      </c>
      <c r="C121" s="41">
        <v>36.666666666666664</v>
      </c>
      <c r="D121" s="41">
        <v>68</v>
      </c>
      <c r="E121" s="41"/>
      <c r="F121" s="41"/>
      <c r="G121" s="40"/>
      <c r="H121" s="41"/>
      <c r="I121" s="40">
        <v>48.666666666666664</v>
      </c>
      <c r="J121" s="40"/>
      <c r="K121" s="40">
        <v>43.666666666666664</v>
      </c>
      <c r="L121" s="41">
        <v>38.333333333333336</v>
      </c>
      <c r="M121" s="41"/>
      <c r="N121" s="40">
        <v>48</v>
      </c>
      <c r="O121" s="41"/>
      <c r="P121" s="41"/>
      <c r="Q121" s="40"/>
      <c r="R121" s="40"/>
      <c r="S121" s="40"/>
      <c r="T121" s="40"/>
      <c r="U121" s="41"/>
      <c r="V121" s="40"/>
      <c r="W121" s="40">
        <v>57.333333333333336</v>
      </c>
      <c r="X121" s="41"/>
      <c r="Y121" s="40"/>
      <c r="Z121" s="41"/>
      <c r="AA121" s="41">
        <v>42.333333333333336</v>
      </c>
      <c r="AB121" s="32">
        <f t="shared" si="6"/>
        <v>382.99999999999994</v>
      </c>
      <c r="AC121" s="18"/>
      <c r="AD121" s="13">
        <f t="shared" si="7"/>
        <v>47.874999999999993</v>
      </c>
    </row>
    <row r="122" spans="1:30" x14ac:dyDescent="0.3">
      <c r="A122" s="7">
        <v>109</v>
      </c>
      <c r="B122" s="22" t="s">
        <v>95</v>
      </c>
      <c r="C122" s="41">
        <v>22</v>
      </c>
      <c r="D122" s="41">
        <v>55</v>
      </c>
      <c r="E122" s="41"/>
      <c r="F122" s="41"/>
      <c r="G122" s="40">
        <v>49</v>
      </c>
      <c r="H122" s="41">
        <v>61.666666666666664</v>
      </c>
      <c r="I122" s="40"/>
      <c r="J122" s="41"/>
      <c r="K122" s="40"/>
      <c r="L122" s="41">
        <v>37.666666666666664</v>
      </c>
      <c r="M122" s="41"/>
      <c r="N122" s="41">
        <v>41.333333333333336</v>
      </c>
      <c r="O122" s="41"/>
      <c r="P122" s="41"/>
      <c r="Q122" s="41"/>
      <c r="R122" s="40">
        <v>59.333333333333336</v>
      </c>
      <c r="S122" s="40"/>
      <c r="T122" s="40"/>
      <c r="U122" s="41"/>
      <c r="V122" s="40"/>
      <c r="W122" s="40"/>
      <c r="X122" s="41"/>
      <c r="Y122" s="41"/>
      <c r="Z122" s="41"/>
      <c r="AA122" s="41">
        <v>51.333333333333336</v>
      </c>
      <c r="AB122" s="32">
        <f t="shared" si="6"/>
        <v>377.33333333333326</v>
      </c>
      <c r="AC122" s="18"/>
      <c r="AD122" s="13">
        <f t="shared" si="7"/>
        <v>47.166666666666657</v>
      </c>
    </row>
    <row r="123" spans="1:30" x14ac:dyDescent="0.3">
      <c r="A123" s="7">
        <v>110</v>
      </c>
      <c r="B123" s="22" t="s">
        <v>89</v>
      </c>
      <c r="C123" s="41">
        <v>24</v>
      </c>
      <c r="D123" s="41">
        <v>76.333333333333329</v>
      </c>
      <c r="E123" s="41"/>
      <c r="F123" s="41"/>
      <c r="G123" s="41">
        <v>38.333333333333336</v>
      </c>
      <c r="H123" s="41">
        <v>44</v>
      </c>
      <c r="I123" s="41"/>
      <c r="J123" s="41"/>
      <c r="K123" s="41"/>
      <c r="L123" s="41">
        <v>36.666666666666664</v>
      </c>
      <c r="M123" s="41"/>
      <c r="N123" s="41">
        <v>38.333333333333336</v>
      </c>
      <c r="O123" s="41"/>
      <c r="P123" s="41"/>
      <c r="Q123" s="41"/>
      <c r="R123" s="41">
        <v>71.333333333333329</v>
      </c>
      <c r="S123" s="41"/>
      <c r="T123" s="41"/>
      <c r="U123" s="41"/>
      <c r="V123" s="41"/>
      <c r="W123" s="41"/>
      <c r="X123" s="41"/>
      <c r="Y123" s="41"/>
      <c r="Z123" s="41"/>
      <c r="AA123" s="41">
        <v>47.666666666666664</v>
      </c>
      <c r="AB123" s="32">
        <f t="shared" si="6"/>
        <v>376.66666666666663</v>
      </c>
      <c r="AC123" s="18"/>
      <c r="AD123" s="13">
        <f t="shared" si="7"/>
        <v>47.083333333333329</v>
      </c>
    </row>
    <row r="124" spans="1:30" x14ac:dyDescent="0.3">
      <c r="A124" s="7">
        <v>111</v>
      </c>
      <c r="B124" s="22" t="s">
        <v>70</v>
      </c>
      <c r="C124" s="41">
        <v>37</v>
      </c>
      <c r="D124" s="41">
        <v>71</v>
      </c>
      <c r="E124" s="40"/>
      <c r="F124" s="41">
        <v>38.333333333333336</v>
      </c>
      <c r="G124" s="41"/>
      <c r="H124" s="41">
        <v>46.333333333333336</v>
      </c>
      <c r="I124" s="40"/>
      <c r="J124" s="40"/>
      <c r="K124" s="40"/>
      <c r="L124" s="41">
        <v>41.666666666666664</v>
      </c>
      <c r="M124" s="41">
        <v>46.666666666666664</v>
      </c>
      <c r="N124" s="41"/>
      <c r="O124" s="41"/>
      <c r="P124" s="40"/>
      <c r="Q124" s="41"/>
      <c r="R124" s="41"/>
      <c r="S124" s="40"/>
      <c r="T124" s="41"/>
      <c r="U124" s="41">
        <v>38.333333333333336</v>
      </c>
      <c r="V124" s="40"/>
      <c r="W124" s="40"/>
      <c r="X124" s="40"/>
      <c r="Y124" s="40"/>
      <c r="Z124" s="40"/>
      <c r="AA124" s="41">
        <v>56.333333333333336</v>
      </c>
      <c r="AB124" s="32">
        <f t="shared" si="6"/>
        <v>375.66666666666663</v>
      </c>
      <c r="AC124" s="18"/>
      <c r="AD124" s="13">
        <f t="shared" si="7"/>
        <v>46.958333333333329</v>
      </c>
    </row>
    <row r="125" spans="1:30" x14ac:dyDescent="0.3">
      <c r="A125" s="7">
        <v>112</v>
      </c>
      <c r="B125" s="22" t="s">
        <v>68</v>
      </c>
      <c r="C125" s="41">
        <v>38</v>
      </c>
      <c r="D125" s="41">
        <v>63</v>
      </c>
      <c r="E125" s="41"/>
      <c r="F125" s="40">
        <v>37</v>
      </c>
      <c r="G125" s="41"/>
      <c r="H125" s="41">
        <v>57</v>
      </c>
      <c r="I125" s="40"/>
      <c r="J125" s="40"/>
      <c r="K125" s="40"/>
      <c r="L125" s="41">
        <v>41</v>
      </c>
      <c r="M125" s="41">
        <v>39.333333333333336</v>
      </c>
      <c r="N125" s="41"/>
      <c r="O125" s="41"/>
      <c r="P125" s="41"/>
      <c r="Q125" s="40"/>
      <c r="R125" s="41"/>
      <c r="S125" s="40"/>
      <c r="T125" s="40"/>
      <c r="U125" s="41">
        <v>45</v>
      </c>
      <c r="V125" s="41"/>
      <c r="W125" s="40"/>
      <c r="X125" s="41"/>
      <c r="Y125" s="40"/>
      <c r="Z125" s="41"/>
      <c r="AA125" s="41">
        <v>48.333333333333336</v>
      </c>
      <c r="AB125" s="32">
        <f t="shared" si="6"/>
        <v>368.66666666666663</v>
      </c>
      <c r="AC125" s="18"/>
      <c r="AD125" s="13">
        <f t="shared" si="7"/>
        <v>46.083333333333329</v>
      </c>
    </row>
    <row r="126" spans="1:30" x14ac:dyDescent="0.3">
      <c r="A126" s="7">
        <v>113</v>
      </c>
      <c r="B126" s="22" t="s">
        <v>73</v>
      </c>
      <c r="C126" s="41">
        <v>43.666666666666664</v>
      </c>
      <c r="D126" s="41">
        <v>60.333333333333336</v>
      </c>
      <c r="E126" s="40"/>
      <c r="F126" s="41">
        <v>38.333333333333336</v>
      </c>
      <c r="G126" s="41"/>
      <c r="H126" s="41">
        <v>32.666666666666664</v>
      </c>
      <c r="I126" s="40"/>
      <c r="J126" s="40"/>
      <c r="K126" s="41"/>
      <c r="L126" s="41">
        <v>54.333333333333336</v>
      </c>
      <c r="M126" s="41">
        <v>44.666666666666664</v>
      </c>
      <c r="N126" s="41"/>
      <c r="O126" s="40"/>
      <c r="P126" s="41"/>
      <c r="Q126" s="40"/>
      <c r="R126" s="41"/>
      <c r="S126" s="40"/>
      <c r="T126" s="41"/>
      <c r="U126" s="41">
        <v>37.666666666666664</v>
      </c>
      <c r="V126" s="40"/>
      <c r="W126" s="40"/>
      <c r="X126" s="40"/>
      <c r="Y126" s="40"/>
      <c r="Z126" s="40"/>
      <c r="AA126" s="41">
        <v>53.666666666666664</v>
      </c>
      <c r="AB126" s="32">
        <f t="shared" si="6"/>
        <v>365.33333333333337</v>
      </c>
      <c r="AC126" s="18"/>
      <c r="AD126" s="13">
        <f t="shared" si="7"/>
        <v>45.666666666666671</v>
      </c>
    </row>
    <row r="127" spans="1:30" x14ac:dyDescent="0.3">
      <c r="A127" s="7">
        <v>114</v>
      </c>
      <c r="B127" s="22" t="s">
        <v>94</v>
      </c>
      <c r="C127" s="41">
        <v>31.666666666666668</v>
      </c>
      <c r="D127" s="41">
        <v>63</v>
      </c>
      <c r="E127" s="41"/>
      <c r="F127" s="41"/>
      <c r="G127" s="40">
        <v>40</v>
      </c>
      <c r="H127" s="40">
        <v>35</v>
      </c>
      <c r="I127" s="40"/>
      <c r="J127" s="40"/>
      <c r="K127" s="40"/>
      <c r="L127" s="41">
        <v>41.666666666666664</v>
      </c>
      <c r="M127" s="41"/>
      <c r="N127" s="40">
        <v>42.666666666666664</v>
      </c>
      <c r="O127" s="41"/>
      <c r="P127" s="41"/>
      <c r="Q127" s="41"/>
      <c r="R127" s="40">
        <v>54.666666666666664</v>
      </c>
      <c r="S127" s="40"/>
      <c r="T127" s="40"/>
      <c r="U127" s="41"/>
      <c r="V127" s="40"/>
      <c r="W127" s="40"/>
      <c r="X127" s="40"/>
      <c r="Y127" s="40"/>
      <c r="Z127" s="41"/>
      <c r="AA127" s="41">
        <v>56</v>
      </c>
      <c r="AB127" s="32">
        <f t="shared" si="6"/>
        <v>364.66666666666669</v>
      </c>
      <c r="AC127" s="18"/>
      <c r="AD127" s="13">
        <f t="shared" si="7"/>
        <v>45.583333333333336</v>
      </c>
    </row>
    <row r="128" spans="1:30" x14ac:dyDescent="0.3">
      <c r="A128" s="7">
        <v>115</v>
      </c>
      <c r="B128" s="22" t="s">
        <v>147</v>
      </c>
      <c r="C128" s="41">
        <v>34.666666666666664</v>
      </c>
      <c r="D128" s="41">
        <v>62.666666666666664</v>
      </c>
      <c r="E128" s="41"/>
      <c r="F128" s="41"/>
      <c r="G128" s="41"/>
      <c r="H128" s="40"/>
      <c r="I128" s="40">
        <v>49</v>
      </c>
      <c r="J128" s="40"/>
      <c r="K128" s="41">
        <v>42</v>
      </c>
      <c r="L128" s="41">
        <v>39</v>
      </c>
      <c r="M128" s="41"/>
      <c r="N128" s="41">
        <v>44.333333333333336</v>
      </c>
      <c r="O128" s="41"/>
      <c r="P128" s="41"/>
      <c r="Q128" s="41"/>
      <c r="R128" s="41"/>
      <c r="S128" s="40"/>
      <c r="T128" s="41"/>
      <c r="U128" s="41"/>
      <c r="V128" s="40"/>
      <c r="W128" s="40">
        <v>45</v>
      </c>
      <c r="X128" s="40"/>
      <c r="Y128" s="40"/>
      <c r="Z128" s="41"/>
      <c r="AA128" s="41">
        <v>47</v>
      </c>
      <c r="AB128" s="32">
        <f t="shared" si="6"/>
        <v>363.66666666666663</v>
      </c>
      <c r="AC128" s="18"/>
      <c r="AD128" s="13">
        <f t="shared" si="7"/>
        <v>45.458333333333329</v>
      </c>
    </row>
    <row r="129" spans="1:30" x14ac:dyDescent="0.3">
      <c r="A129" s="7">
        <v>116</v>
      </c>
      <c r="B129" s="22" t="s">
        <v>75</v>
      </c>
      <c r="C129" s="41">
        <v>38.666666666666664</v>
      </c>
      <c r="D129" s="41">
        <v>75.333333333333329</v>
      </c>
      <c r="E129" s="41"/>
      <c r="F129" s="41">
        <v>44</v>
      </c>
      <c r="G129" s="41"/>
      <c r="H129" s="41">
        <v>54</v>
      </c>
      <c r="I129" s="41"/>
      <c r="J129" s="41"/>
      <c r="K129" s="41"/>
      <c r="L129" s="41">
        <v>26.333333333333332</v>
      </c>
      <c r="M129" s="41">
        <v>35.666666666666664</v>
      </c>
      <c r="N129" s="41"/>
      <c r="O129" s="41"/>
      <c r="P129" s="41"/>
      <c r="Q129" s="41"/>
      <c r="R129" s="41"/>
      <c r="S129" s="41"/>
      <c r="T129" s="41"/>
      <c r="U129" s="41">
        <v>43</v>
      </c>
      <c r="V129" s="41"/>
      <c r="W129" s="41"/>
      <c r="X129" s="41"/>
      <c r="Y129" s="41"/>
      <c r="Z129" s="41"/>
      <c r="AA129" s="41">
        <v>40.666666666666664</v>
      </c>
      <c r="AB129" s="32">
        <f t="shared" si="6"/>
        <v>357.66666666666669</v>
      </c>
      <c r="AC129" s="18"/>
      <c r="AD129" s="13">
        <f t="shared" si="7"/>
        <v>44.708333333333336</v>
      </c>
    </row>
    <row r="130" spans="1:30" x14ac:dyDescent="0.3">
      <c r="A130" s="7">
        <v>117</v>
      </c>
      <c r="B130" s="22" t="s">
        <v>79</v>
      </c>
      <c r="C130" s="41">
        <v>34.666666666666664</v>
      </c>
      <c r="D130" s="41">
        <v>62</v>
      </c>
      <c r="E130" s="41"/>
      <c r="F130" s="41">
        <v>43</v>
      </c>
      <c r="G130" s="41"/>
      <c r="H130" s="41">
        <v>40</v>
      </c>
      <c r="I130" s="41"/>
      <c r="J130" s="41"/>
      <c r="K130" s="41"/>
      <c r="L130" s="41">
        <v>43.666666666666664</v>
      </c>
      <c r="M130" s="41">
        <v>41</v>
      </c>
      <c r="N130" s="41"/>
      <c r="O130" s="41"/>
      <c r="P130" s="41"/>
      <c r="Q130" s="41"/>
      <c r="R130" s="41"/>
      <c r="S130" s="41"/>
      <c r="T130" s="41"/>
      <c r="U130" s="41">
        <v>35.666666666666664</v>
      </c>
      <c r="V130" s="41"/>
      <c r="W130" s="41"/>
      <c r="X130" s="41"/>
      <c r="Y130" s="41"/>
      <c r="Z130" s="41"/>
      <c r="AA130" s="41">
        <v>52.666666666666664</v>
      </c>
      <c r="AB130" s="32">
        <f t="shared" si="6"/>
        <v>352.66666666666669</v>
      </c>
      <c r="AC130" s="18"/>
      <c r="AD130" s="13">
        <f t="shared" si="7"/>
        <v>44.083333333333336</v>
      </c>
    </row>
    <row r="131" spans="1:30" x14ac:dyDescent="0.3">
      <c r="A131" s="7">
        <v>118</v>
      </c>
      <c r="B131" s="22" t="s">
        <v>74</v>
      </c>
      <c r="C131" s="41">
        <v>42.666666666666664</v>
      </c>
      <c r="D131" s="41">
        <v>58.666666666666664</v>
      </c>
      <c r="E131" s="41"/>
      <c r="F131" s="41">
        <v>37.333333333333336</v>
      </c>
      <c r="G131" s="40"/>
      <c r="H131" s="41">
        <v>40.333333333333336</v>
      </c>
      <c r="I131" s="40"/>
      <c r="J131" s="40"/>
      <c r="K131" s="40"/>
      <c r="L131" s="41">
        <v>34.666666666666664</v>
      </c>
      <c r="M131" s="41">
        <v>38.333333333333336</v>
      </c>
      <c r="N131" s="40"/>
      <c r="O131" s="40"/>
      <c r="P131" s="40"/>
      <c r="Q131" s="40"/>
      <c r="R131" s="40"/>
      <c r="S131" s="41"/>
      <c r="T131" s="41"/>
      <c r="U131" s="41">
        <v>46.333333333333336</v>
      </c>
      <c r="V131" s="41"/>
      <c r="W131" s="40"/>
      <c r="X131" s="41"/>
      <c r="Y131" s="40"/>
      <c r="Z131" s="41"/>
      <c r="AA131" s="41">
        <v>47.666666666666664</v>
      </c>
      <c r="AB131" s="32">
        <f t="shared" si="6"/>
        <v>346</v>
      </c>
      <c r="AC131" s="18"/>
      <c r="AD131" s="13">
        <f t="shared" si="7"/>
        <v>43.25</v>
      </c>
    </row>
    <row r="132" spans="1:30" x14ac:dyDescent="0.3">
      <c r="AB132" s="32"/>
      <c r="AC132" s="18"/>
      <c r="AD132" s="13"/>
    </row>
    <row r="133" spans="1:30" x14ac:dyDescent="0.3">
      <c r="A133" s="24"/>
      <c r="C133" s="24">
        <f t="shared" ref="C133:AA133" si="8">AVERAGE(C8:C131)</f>
        <v>55.389830508474603</v>
      </c>
      <c r="D133" s="24">
        <f t="shared" si="8"/>
        <v>78.209039548022588</v>
      </c>
      <c r="E133" s="24">
        <f t="shared" si="8"/>
        <v>73.75238095238096</v>
      </c>
      <c r="F133" s="24">
        <f t="shared" si="8"/>
        <v>57.888888888888879</v>
      </c>
      <c r="G133" s="24">
        <f t="shared" si="8"/>
        <v>57.583333333333321</v>
      </c>
      <c r="H133" s="24">
        <f t="shared" si="8"/>
        <v>56.132183908045974</v>
      </c>
      <c r="I133" s="24">
        <f t="shared" si="8"/>
        <v>64.25</v>
      </c>
      <c r="J133" s="24">
        <f t="shared" si="8"/>
        <v>65.952380952380949</v>
      </c>
      <c r="K133" s="24">
        <f t="shared" si="8"/>
        <v>64.1875</v>
      </c>
      <c r="L133" s="24">
        <f t="shared" si="8"/>
        <v>58.457627118644069</v>
      </c>
      <c r="M133" s="24">
        <f t="shared" si="8"/>
        <v>64.10798122065728</v>
      </c>
      <c r="N133" s="24">
        <f t="shared" si="8"/>
        <v>59.092198581560289</v>
      </c>
      <c r="O133" s="24">
        <f t="shared" si="8"/>
        <v>72.187500000000014</v>
      </c>
      <c r="P133" s="24">
        <f t="shared" si="8"/>
        <v>69.930555555555529</v>
      </c>
      <c r="Q133" s="24">
        <f t="shared" si="8"/>
        <v>78.333333333333343</v>
      </c>
      <c r="R133" s="24">
        <f t="shared" si="8"/>
        <v>68.194444444444443</v>
      </c>
      <c r="S133" s="24">
        <f t="shared" si="8"/>
        <v>65.749999999999986</v>
      </c>
      <c r="T133" s="24">
        <f t="shared" si="8"/>
        <v>71.083333333333329</v>
      </c>
      <c r="U133" s="24">
        <f t="shared" si="8"/>
        <v>59.891891891891902</v>
      </c>
      <c r="V133" s="24">
        <f t="shared" si="8"/>
        <v>88.222222222222214</v>
      </c>
      <c r="W133" s="24">
        <f t="shared" si="8"/>
        <v>65.041666666666671</v>
      </c>
      <c r="X133" s="24">
        <f t="shared" si="8"/>
        <v>70.384615384615387</v>
      </c>
      <c r="Y133" s="24">
        <f t="shared" si="8"/>
        <v>62.761904761904759</v>
      </c>
      <c r="Z133" s="24">
        <f t="shared" si="8"/>
        <v>70.713178294573652</v>
      </c>
      <c r="AA133" s="24">
        <f t="shared" si="8"/>
        <v>64.098901098901095</v>
      </c>
      <c r="AB133" s="32">
        <f>SUM(C133:AA133)</f>
        <v>1661.5968919998313</v>
      </c>
      <c r="AC133" s="18"/>
      <c r="AD133" s="13">
        <f>AVERAGE(C133:AA133)</f>
        <v>66.463875679993251</v>
      </c>
    </row>
  </sheetData>
  <sortState ref="B8:AD125">
    <sortCondition descending="1" ref="AD125"/>
  </sortState>
  <mergeCells count="5">
    <mergeCell ref="A1:D5"/>
    <mergeCell ref="E1:AD1"/>
    <mergeCell ref="E2:AD2"/>
    <mergeCell ref="E3:AD3"/>
    <mergeCell ref="E4:AD4"/>
  </mergeCells>
  <printOptions gridLines="1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3"/>
  <sheetViews>
    <sheetView tabSelected="1" topLeftCell="A2" zoomScale="140" zoomScaleNormal="140" workbookViewId="0">
      <selection activeCell="A6" sqref="A6:AD131"/>
    </sheetView>
  </sheetViews>
  <sheetFormatPr defaultRowHeight="14.4" x14ac:dyDescent="0.3"/>
  <cols>
    <col min="1" max="1" width="3.88671875" style="19" customWidth="1"/>
    <col min="2" max="2" width="13.33203125" style="24" bestFit="1" customWidth="1"/>
    <col min="3" max="12" width="2.44140625" style="24" customWidth="1"/>
    <col min="13" max="13" width="2.6640625" style="24" customWidth="1"/>
    <col min="14" max="21" width="2.33203125" style="24" customWidth="1"/>
    <col min="22" max="22" width="2.6640625" style="24" customWidth="1"/>
    <col min="23" max="26" width="2.44140625" style="24" customWidth="1"/>
    <col min="27" max="27" width="2.6640625" style="24" customWidth="1"/>
    <col min="28" max="28" width="4" style="33" customWidth="1"/>
    <col min="29" max="29" width="0.5546875" style="24" customWidth="1"/>
    <col min="30" max="30" width="4.33203125" style="24" customWidth="1"/>
    <col min="31" max="31" width="2.109375" style="62" bestFit="1" customWidth="1"/>
  </cols>
  <sheetData>
    <row r="1" spans="1:31" x14ac:dyDescent="0.3">
      <c r="A1" s="67" t="s">
        <v>188</v>
      </c>
      <c r="B1" s="67"/>
      <c r="C1" s="67"/>
      <c r="D1" s="67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</row>
    <row r="2" spans="1:31" x14ac:dyDescent="0.3">
      <c r="A2" s="67"/>
      <c r="B2" s="67"/>
      <c r="C2" s="67"/>
      <c r="D2" s="67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1:31" x14ac:dyDescent="0.3">
      <c r="A3" s="67"/>
      <c r="B3" s="67"/>
      <c r="C3" s="67"/>
      <c r="D3" s="67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 spans="1:31" x14ac:dyDescent="0.3">
      <c r="A4" s="67"/>
      <c r="B4" s="67"/>
      <c r="C4" s="67"/>
      <c r="D4" s="67"/>
      <c r="E4" s="66" t="s">
        <v>180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 spans="1:31" x14ac:dyDescent="0.3">
      <c r="A5" s="67"/>
      <c r="B5" s="67"/>
      <c r="C5" s="67"/>
      <c r="D5" s="67"/>
      <c r="N5" s="38"/>
      <c r="O5" s="17"/>
      <c r="AB5" s="30"/>
      <c r="AC5" s="57"/>
      <c r="AD5" s="28"/>
    </row>
    <row r="6" spans="1:31" ht="123.6" x14ac:dyDescent="0.3">
      <c r="A6" s="20" t="s">
        <v>171</v>
      </c>
      <c r="B6" s="34" t="s">
        <v>172</v>
      </c>
      <c r="C6" s="39" t="s">
        <v>3</v>
      </c>
      <c r="D6" s="39" t="s">
        <v>19</v>
      </c>
      <c r="E6" s="39" t="s">
        <v>163</v>
      </c>
      <c r="F6" s="39" t="s">
        <v>20</v>
      </c>
      <c r="G6" s="39" t="s">
        <v>174</v>
      </c>
      <c r="H6" s="39" t="s">
        <v>168</v>
      </c>
      <c r="I6" s="39" t="s">
        <v>159</v>
      </c>
      <c r="J6" s="39" t="s">
        <v>140</v>
      </c>
      <c r="K6" s="39" t="s">
        <v>160</v>
      </c>
      <c r="L6" s="39" t="s">
        <v>21</v>
      </c>
      <c r="M6" s="39" t="s">
        <v>22</v>
      </c>
      <c r="N6" s="39" t="s">
        <v>169</v>
      </c>
      <c r="O6" s="39" t="s">
        <v>46</v>
      </c>
      <c r="P6" s="39" t="s">
        <v>23</v>
      </c>
      <c r="Q6" s="39" t="s">
        <v>24</v>
      </c>
      <c r="R6" s="39" t="s">
        <v>109</v>
      </c>
      <c r="S6" s="39" t="s">
        <v>123</v>
      </c>
      <c r="T6" s="39" t="s">
        <v>124</v>
      </c>
      <c r="U6" s="39" t="s">
        <v>173</v>
      </c>
      <c r="V6" s="39" t="s">
        <v>131</v>
      </c>
      <c r="W6" s="39" t="s">
        <v>179</v>
      </c>
      <c r="X6" s="39" t="s">
        <v>164</v>
      </c>
      <c r="Y6" s="39" t="s">
        <v>141</v>
      </c>
      <c r="Z6" s="39" t="s">
        <v>165</v>
      </c>
      <c r="AA6" s="39" t="s">
        <v>47</v>
      </c>
      <c r="AB6" s="31" t="s">
        <v>166</v>
      </c>
      <c r="AC6" s="58"/>
      <c r="AD6" s="29" t="s">
        <v>167</v>
      </c>
      <c r="AE6" s="29" t="s">
        <v>189</v>
      </c>
    </row>
    <row r="7" spans="1:31" x14ac:dyDescent="0.3">
      <c r="N7" s="38"/>
      <c r="O7" s="17"/>
      <c r="AB7" s="30"/>
      <c r="AC7" s="57"/>
      <c r="AD7" s="28"/>
    </row>
    <row r="8" spans="1:31" x14ac:dyDescent="0.3">
      <c r="A8" s="7">
        <v>1</v>
      </c>
      <c r="B8" s="43" t="s">
        <v>28</v>
      </c>
      <c r="C8" s="43">
        <v>93</v>
      </c>
      <c r="D8" s="41">
        <v>98</v>
      </c>
      <c r="E8" s="43">
        <v>100</v>
      </c>
      <c r="F8" s="41"/>
      <c r="G8" s="41"/>
      <c r="H8" s="41"/>
      <c r="I8" s="40"/>
      <c r="J8" s="40"/>
      <c r="K8" s="40"/>
      <c r="L8" s="43">
        <v>94</v>
      </c>
      <c r="M8" s="43">
        <v>100</v>
      </c>
      <c r="N8" s="41"/>
      <c r="O8" s="43">
        <v>94</v>
      </c>
      <c r="P8" s="43">
        <v>99</v>
      </c>
      <c r="Q8" s="40"/>
      <c r="R8" s="41"/>
      <c r="S8" s="41"/>
      <c r="T8" s="41"/>
      <c r="U8" s="41"/>
      <c r="V8" s="40"/>
      <c r="W8" s="40"/>
      <c r="X8" s="40"/>
      <c r="Y8" s="40"/>
      <c r="Z8" s="43">
        <v>96</v>
      </c>
      <c r="AA8" s="43">
        <v>100</v>
      </c>
      <c r="AB8" s="49">
        <f>SUM(C8:AA8)</f>
        <v>874</v>
      </c>
      <c r="AC8" s="59"/>
      <c r="AD8" s="44">
        <f>AVERAGE(C8:AA8)</f>
        <v>97.111111111111114</v>
      </c>
      <c r="AE8" s="62">
        <v>9</v>
      </c>
    </row>
    <row r="9" spans="1:31" x14ac:dyDescent="0.3">
      <c r="A9" s="7">
        <v>2</v>
      </c>
      <c r="B9" s="42" t="s">
        <v>12</v>
      </c>
      <c r="C9" s="43">
        <v>88</v>
      </c>
      <c r="D9" s="41">
        <v>99.333333333333329</v>
      </c>
      <c r="E9" s="41"/>
      <c r="F9" s="43">
        <v>90</v>
      </c>
      <c r="G9" s="40"/>
      <c r="H9" s="41"/>
      <c r="I9" s="40"/>
      <c r="J9" s="40"/>
      <c r="K9" s="40"/>
      <c r="L9" s="43">
        <v>92</v>
      </c>
      <c r="M9" s="43">
        <v>98</v>
      </c>
      <c r="N9" s="40"/>
      <c r="O9" s="40"/>
      <c r="P9" s="43">
        <v>96</v>
      </c>
      <c r="Q9" s="43">
        <v>90</v>
      </c>
      <c r="R9" s="40"/>
      <c r="S9" s="41"/>
      <c r="T9" s="41"/>
      <c r="U9" s="43">
        <v>87</v>
      </c>
      <c r="V9" s="40"/>
      <c r="W9" s="40"/>
      <c r="X9" s="41"/>
      <c r="Y9" s="40"/>
      <c r="Z9" s="43">
        <v>97</v>
      </c>
      <c r="AA9" s="41"/>
      <c r="AB9" s="49">
        <f>SUM(C9:AA9)</f>
        <v>837.33333333333326</v>
      </c>
      <c r="AC9" s="59"/>
      <c r="AD9" s="44">
        <f>AVERAGE(C9:AA9)</f>
        <v>93.037037037037024</v>
      </c>
      <c r="AE9" s="62">
        <v>9</v>
      </c>
    </row>
    <row r="10" spans="1:31" x14ac:dyDescent="0.3">
      <c r="A10" s="7">
        <v>3</v>
      </c>
      <c r="B10" s="42" t="s">
        <v>125</v>
      </c>
      <c r="C10" s="43">
        <v>96</v>
      </c>
      <c r="D10" s="41">
        <v>96.333333333333329</v>
      </c>
      <c r="E10" s="43">
        <v>90</v>
      </c>
      <c r="F10" s="41"/>
      <c r="G10" s="41"/>
      <c r="H10" s="43">
        <v>91</v>
      </c>
      <c r="I10" s="41"/>
      <c r="J10" s="41"/>
      <c r="K10" s="41"/>
      <c r="L10" s="43">
        <v>92</v>
      </c>
      <c r="M10" s="43">
        <v>90</v>
      </c>
      <c r="N10" s="41"/>
      <c r="O10" s="41"/>
      <c r="P10" s="41"/>
      <c r="Q10" s="41"/>
      <c r="R10" s="41"/>
      <c r="S10" s="41"/>
      <c r="T10" s="41"/>
      <c r="U10" s="41"/>
      <c r="V10" s="43">
        <v>100</v>
      </c>
      <c r="W10" s="41"/>
      <c r="X10" s="41"/>
      <c r="Y10" s="41"/>
      <c r="Z10" s="43">
        <v>87</v>
      </c>
      <c r="AA10" s="41"/>
      <c r="AB10" s="49">
        <f>SUM(C10:AA10)</f>
        <v>742.33333333333326</v>
      </c>
      <c r="AC10" s="59"/>
      <c r="AD10" s="44">
        <f>AVERAGE(C10:AA10)</f>
        <v>92.791666666666657</v>
      </c>
      <c r="AE10" s="62">
        <v>8</v>
      </c>
    </row>
    <row r="11" spans="1:31" x14ac:dyDescent="0.3">
      <c r="A11" s="7">
        <v>4</v>
      </c>
      <c r="B11" s="43" t="s">
        <v>11</v>
      </c>
      <c r="C11" s="43">
        <v>86</v>
      </c>
      <c r="D11" s="41">
        <v>96.666666666666671</v>
      </c>
      <c r="E11" s="41"/>
      <c r="F11" s="43">
        <v>93</v>
      </c>
      <c r="G11" s="41"/>
      <c r="H11" s="41"/>
      <c r="I11" s="40"/>
      <c r="J11" s="40"/>
      <c r="K11" s="41"/>
      <c r="L11" s="43">
        <v>94</v>
      </c>
      <c r="M11" s="43">
        <v>96</v>
      </c>
      <c r="N11" s="41"/>
      <c r="O11" s="40"/>
      <c r="P11" s="43">
        <v>95</v>
      </c>
      <c r="Q11" s="43">
        <v>85</v>
      </c>
      <c r="R11" s="41"/>
      <c r="S11" s="41"/>
      <c r="T11" s="41"/>
      <c r="U11" s="43">
        <v>90</v>
      </c>
      <c r="V11" s="40"/>
      <c r="W11" s="40"/>
      <c r="X11" s="41"/>
      <c r="Y11" s="40"/>
      <c r="Z11" s="43">
        <v>91</v>
      </c>
      <c r="AA11" s="41"/>
      <c r="AB11" s="49">
        <f>SUM(C11:AA11)</f>
        <v>826.66666666666674</v>
      </c>
      <c r="AC11" s="59"/>
      <c r="AD11" s="44">
        <f>AVERAGE(C11:AA11)</f>
        <v>91.851851851851862</v>
      </c>
      <c r="AE11" s="62">
        <v>9</v>
      </c>
    </row>
    <row r="12" spans="1:31" x14ac:dyDescent="0.3">
      <c r="A12" s="7">
        <v>5</v>
      </c>
      <c r="B12" s="42" t="s">
        <v>31</v>
      </c>
      <c r="C12" s="43">
        <v>84</v>
      </c>
      <c r="D12" s="41">
        <v>95.666666666666671</v>
      </c>
      <c r="E12" s="43">
        <v>92</v>
      </c>
      <c r="F12" s="41"/>
      <c r="G12" s="41"/>
      <c r="H12" s="41"/>
      <c r="I12" s="41"/>
      <c r="J12" s="40"/>
      <c r="K12" s="41"/>
      <c r="L12" s="43">
        <v>85</v>
      </c>
      <c r="M12" s="43">
        <v>92</v>
      </c>
      <c r="N12" s="41"/>
      <c r="O12" s="43">
        <v>98</v>
      </c>
      <c r="P12" s="43">
        <v>89</v>
      </c>
      <c r="Q12" s="41"/>
      <c r="R12" s="40"/>
      <c r="S12" s="41"/>
      <c r="T12" s="41"/>
      <c r="U12" s="41"/>
      <c r="V12" s="40"/>
      <c r="W12" s="41"/>
      <c r="X12" s="40"/>
      <c r="Y12" s="40"/>
      <c r="Z12" s="43">
        <v>90</v>
      </c>
      <c r="AA12" s="43">
        <v>95</v>
      </c>
      <c r="AB12" s="49">
        <f>SUM(C12:AA12)</f>
        <v>820.66666666666674</v>
      </c>
      <c r="AC12" s="59"/>
      <c r="AD12" s="44">
        <f>AVERAGE(C12:AA12)</f>
        <v>91.18518518518519</v>
      </c>
      <c r="AE12" s="62">
        <v>9</v>
      </c>
    </row>
    <row r="13" spans="1:31" x14ac:dyDescent="0.3">
      <c r="A13" s="7">
        <v>5</v>
      </c>
      <c r="B13" s="42" t="s">
        <v>49</v>
      </c>
      <c r="C13" s="43">
        <v>89</v>
      </c>
      <c r="D13" s="41">
        <v>94</v>
      </c>
      <c r="E13" s="43">
        <v>95</v>
      </c>
      <c r="F13" s="41"/>
      <c r="G13" s="40"/>
      <c r="H13" s="41"/>
      <c r="I13" s="40"/>
      <c r="J13" s="40"/>
      <c r="K13" s="40"/>
      <c r="L13" s="43">
        <v>92</v>
      </c>
      <c r="M13" s="43">
        <v>92</v>
      </c>
      <c r="N13" s="41"/>
      <c r="O13" s="41"/>
      <c r="P13" s="41"/>
      <c r="Q13" s="40"/>
      <c r="R13" s="40"/>
      <c r="S13" s="40"/>
      <c r="T13" s="41"/>
      <c r="U13" s="43">
        <v>82</v>
      </c>
      <c r="V13" s="41"/>
      <c r="W13" s="40"/>
      <c r="X13" s="43">
        <v>92</v>
      </c>
      <c r="Y13" s="40"/>
      <c r="Z13" s="43">
        <v>90</v>
      </c>
      <c r="AA13" s="41"/>
      <c r="AB13" s="49">
        <f>SUM(C13:AA13)</f>
        <v>726</v>
      </c>
      <c r="AC13" s="59"/>
      <c r="AD13" s="44">
        <f>AVERAGE(C13:AA13)</f>
        <v>90.75</v>
      </c>
      <c r="AE13" s="62">
        <v>8</v>
      </c>
    </row>
    <row r="14" spans="1:31" x14ac:dyDescent="0.3">
      <c r="A14" s="7">
        <v>7</v>
      </c>
      <c r="B14" s="42" t="s">
        <v>29</v>
      </c>
      <c r="C14" s="43">
        <v>83</v>
      </c>
      <c r="D14" s="41">
        <v>97.333333333333329</v>
      </c>
      <c r="E14" s="43">
        <v>91</v>
      </c>
      <c r="F14" s="41"/>
      <c r="G14" s="40"/>
      <c r="H14" s="41"/>
      <c r="I14" s="40"/>
      <c r="J14" s="40"/>
      <c r="K14" s="40"/>
      <c r="L14" s="43">
        <v>88</v>
      </c>
      <c r="M14" s="43">
        <v>92</v>
      </c>
      <c r="N14" s="40"/>
      <c r="O14" s="43">
        <v>90</v>
      </c>
      <c r="P14" s="43">
        <v>88</v>
      </c>
      <c r="Q14" s="40"/>
      <c r="R14" s="40"/>
      <c r="S14" s="41"/>
      <c r="T14" s="41"/>
      <c r="U14" s="41"/>
      <c r="V14" s="40"/>
      <c r="W14" s="40"/>
      <c r="X14" s="41"/>
      <c r="Y14" s="40"/>
      <c r="Z14" s="43">
        <v>88</v>
      </c>
      <c r="AA14" s="43">
        <v>96</v>
      </c>
      <c r="AB14" s="49">
        <f>SUM(C14:AA14)</f>
        <v>813.33333333333326</v>
      </c>
      <c r="AC14" s="59"/>
      <c r="AD14" s="44">
        <f>AVERAGE(C14:AA14)</f>
        <v>90.370370370370367</v>
      </c>
      <c r="AE14" s="62">
        <v>9</v>
      </c>
    </row>
    <row r="15" spans="1:31" x14ac:dyDescent="0.3">
      <c r="A15" s="7">
        <v>8</v>
      </c>
      <c r="B15" s="42" t="s">
        <v>126</v>
      </c>
      <c r="C15" s="43">
        <v>78</v>
      </c>
      <c r="D15" s="41">
        <v>97.666666666666671</v>
      </c>
      <c r="E15" s="43">
        <v>88</v>
      </c>
      <c r="F15" s="41"/>
      <c r="G15" s="40"/>
      <c r="H15" s="43">
        <v>97</v>
      </c>
      <c r="I15" s="40"/>
      <c r="J15" s="40"/>
      <c r="K15" s="40"/>
      <c r="L15" s="43">
        <v>85</v>
      </c>
      <c r="M15" s="43">
        <v>91</v>
      </c>
      <c r="N15" s="40"/>
      <c r="O15" s="40"/>
      <c r="P15" s="40"/>
      <c r="Q15" s="40"/>
      <c r="R15" s="40"/>
      <c r="S15" s="40"/>
      <c r="T15" s="40"/>
      <c r="U15" s="41"/>
      <c r="V15" s="43">
        <v>96</v>
      </c>
      <c r="W15" s="40"/>
      <c r="X15" s="41"/>
      <c r="Y15" s="40"/>
      <c r="Z15" s="43">
        <v>84</v>
      </c>
      <c r="AA15" s="41"/>
      <c r="AB15" s="49">
        <f>SUM(C15:AA15)</f>
        <v>716.66666666666674</v>
      </c>
      <c r="AC15" s="59"/>
      <c r="AD15" s="44">
        <f>AVERAGE(C15:AA15)</f>
        <v>89.583333333333343</v>
      </c>
      <c r="AE15" s="62">
        <v>7</v>
      </c>
    </row>
    <row r="16" spans="1:31" x14ac:dyDescent="0.3">
      <c r="A16" s="7">
        <v>9</v>
      </c>
      <c r="B16" s="42" t="s">
        <v>13</v>
      </c>
      <c r="C16" s="43">
        <v>85</v>
      </c>
      <c r="D16" s="41">
        <v>95.333333333333329</v>
      </c>
      <c r="E16" s="41"/>
      <c r="F16" s="43">
        <v>84</v>
      </c>
      <c r="G16" s="41"/>
      <c r="H16" s="41"/>
      <c r="I16" s="41"/>
      <c r="J16" s="41"/>
      <c r="K16" s="41"/>
      <c r="L16" s="43">
        <v>96</v>
      </c>
      <c r="M16" s="43">
        <v>97</v>
      </c>
      <c r="N16" s="41"/>
      <c r="O16" s="41"/>
      <c r="P16" s="43">
        <v>92</v>
      </c>
      <c r="Q16" s="43">
        <v>82</v>
      </c>
      <c r="R16" s="41"/>
      <c r="S16" s="41"/>
      <c r="T16" s="41"/>
      <c r="U16" s="43">
        <v>82</v>
      </c>
      <c r="V16" s="41"/>
      <c r="W16" s="41"/>
      <c r="X16" s="41"/>
      <c r="Y16" s="41"/>
      <c r="Z16" s="43">
        <v>92</v>
      </c>
      <c r="AA16" s="41"/>
      <c r="AB16" s="49">
        <f>SUM(C16:AA16)</f>
        <v>805.33333333333326</v>
      </c>
      <c r="AC16" s="59"/>
      <c r="AD16" s="44">
        <f>AVERAGE(C16:AA16)</f>
        <v>89.481481481481467</v>
      </c>
      <c r="AE16" s="62">
        <v>9</v>
      </c>
    </row>
    <row r="17" spans="1:31" x14ac:dyDescent="0.3">
      <c r="A17" s="7">
        <v>10</v>
      </c>
      <c r="B17" s="42" t="s">
        <v>30</v>
      </c>
      <c r="C17" s="43">
        <v>82</v>
      </c>
      <c r="D17" s="41">
        <v>92.666666666666671</v>
      </c>
      <c r="E17" s="43">
        <v>93</v>
      </c>
      <c r="F17" s="41"/>
      <c r="G17" s="40"/>
      <c r="H17" s="40"/>
      <c r="I17" s="40"/>
      <c r="J17" s="40"/>
      <c r="K17" s="40"/>
      <c r="L17" s="43">
        <v>92</v>
      </c>
      <c r="M17" s="43">
        <v>91</v>
      </c>
      <c r="N17" s="40"/>
      <c r="O17" s="43">
        <v>88</v>
      </c>
      <c r="P17" s="43">
        <v>87</v>
      </c>
      <c r="Q17" s="41"/>
      <c r="R17" s="40"/>
      <c r="S17" s="40"/>
      <c r="T17" s="40"/>
      <c r="U17" s="41"/>
      <c r="V17" s="40"/>
      <c r="W17" s="40"/>
      <c r="X17" s="41"/>
      <c r="Y17" s="40"/>
      <c r="Z17" s="43">
        <v>84</v>
      </c>
      <c r="AA17" s="43">
        <v>94</v>
      </c>
      <c r="AB17" s="49">
        <f>SUM(C17:AA17)</f>
        <v>803.66666666666674</v>
      </c>
      <c r="AC17" s="59"/>
      <c r="AD17" s="44">
        <f>AVERAGE(C17:AA17)</f>
        <v>89.296296296296305</v>
      </c>
      <c r="AE17" s="62">
        <v>9</v>
      </c>
    </row>
    <row r="18" spans="1:31" x14ac:dyDescent="0.3">
      <c r="A18" s="7">
        <v>11</v>
      </c>
      <c r="B18" s="61" t="s">
        <v>114</v>
      </c>
      <c r="C18" s="43">
        <v>84</v>
      </c>
      <c r="D18" s="41">
        <v>92.666666666666671</v>
      </c>
      <c r="E18" s="41"/>
      <c r="F18" s="41"/>
      <c r="G18" s="41"/>
      <c r="H18" s="43">
        <v>83</v>
      </c>
      <c r="I18" s="41"/>
      <c r="J18" s="41"/>
      <c r="K18" s="41"/>
      <c r="L18" s="43">
        <v>87</v>
      </c>
      <c r="M18" s="43">
        <v>85</v>
      </c>
      <c r="N18" s="41"/>
      <c r="O18" s="41"/>
      <c r="P18" s="41"/>
      <c r="Q18" s="41"/>
      <c r="R18" s="41"/>
      <c r="S18" s="43">
        <v>95</v>
      </c>
      <c r="T18" s="43">
        <v>92</v>
      </c>
      <c r="U18" s="41"/>
      <c r="V18" s="41"/>
      <c r="W18" s="41"/>
      <c r="X18" s="41"/>
      <c r="Y18" s="41"/>
      <c r="Z18" s="41"/>
      <c r="AA18" s="43">
        <v>94</v>
      </c>
      <c r="AB18" s="49">
        <f>SUM(C18:AA18)</f>
        <v>712.66666666666674</v>
      </c>
      <c r="AC18" s="59"/>
      <c r="AD18" s="44">
        <f>AVERAGE(C18:AA18)</f>
        <v>89.083333333333343</v>
      </c>
      <c r="AE18" s="62">
        <v>8</v>
      </c>
    </row>
    <row r="19" spans="1:31" x14ac:dyDescent="0.3">
      <c r="A19" s="7">
        <v>12</v>
      </c>
      <c r="B19" s="42" t="s">
        <v>50</v>
      </c>
      <c r="C19" s="43">
        <v>90</v>
      </c>
      <c r="D19" s="41">
        <v>93.666666666666671</v>
      </c>
      <c r="E19" s="43">
        <v>89</v>
      </c>
      <c r="F19" s="41"/>
      <c r="G19" s="40"/>
      <c r="H19" s="41"/>
      <c r="I19" s="40"/>
      <c r="J19" s="40"/>
      <c r="K19" s="40"/>
      <c r="L19" s="43">
        <v>85</v>
      </c>
      <c r="M19" s="43">
        <v>88</v>
      </c>
      <c r="N19" s="40"/>
      <c r="O19" s="41"/>
      <c r="P19" s="41"/>
      <c r="Q19" s="41"/>
      <c r="R19" s="40"/>
      <c r="S19" s="40"/>
      <c r="T19" s="40"/>
      <c r="U19" s="43">
        <v>76</v>
      </c>
      <c r="V19" s="40"/>
      <c r="W19" s="40"/>
      <c r="X19" s="43">
        <v>90</v>
      </c>
      <c r="Y19" s="40"/>
      <c r="Z19" s="43">
        <v>86</v>
      </c>
      <c r="AA19" s="41"/>
      <c r="AB19" s="49">
        <f>SUM(C19:AA19)</f>
        <v>697.66666666666674</v>
      </c>
      <c r="AC19" s="59"/>
      <c r="AD19" s="44">
        <f>AVERAGE(C19:AA19)</f>
        <v>87.208333333333343</v>
      </c>
      <c r="AE19" s="62">
        <v>7</v>
      </c>
    </row>
    <row r="20" spans="1:31" x14ac:dyDescent="0.3">
      <c r="A20" s="7">
        <v>13</v>
      </c>
      <c r="B20" s="42" t="s">
        <v>14</v>
      </c>
      <c r="C20" s="43">
        <v>92</v>
      </c>
      <c r="D20" s="41">
        <v>93.333333333333329</v>
      </c>
      <c r="E20" s="41"/>
      <c r="F20" s="43">
        <v>81</v>
      </c>
      <c r="G20" s="41"/>
      <c r="H20" s="41"/>
      <c r="I20" s="40"/>
      <c r="J20" s="40"/>
      <c r="K20" s="40"/>
      <c r="L20" s="43">
        <v>85</v>
      </c>
      <c r="M20" s="43">
        <v>85</v>
      </c>
      <c r="N20" s="41"/>
      <c r="O20" s="40"/>
      <c r="P20" s="43">
        <v>85</v>
      </c>
      <c r="Q20" s="43">
        <v>75</v>
      </c>
      <c r="R20" s="41"/>
      <c r="S20" s="40"/>
      <c r="T20" s="40"/>
      <c r="U20" s="43">
        <v>81</v>
      </c>
      <c r="V20" s="40"/>
      <c r="W20" s="40"/>
      <c r="X20" s="41"/>
      <c r="Y20" s="40"/>
      <c r="Z20" s="43">
        <v>85</v>
      </c>
      <c r="AA20" s="41"/>
      <c r="AB20" s="49">
        <f>SUM(C20:AA20)</f>
        <v>762.33333333333326</v>
      </c>
      <c r="AC20" s="59"/>
      <c r="AD20" s="44">
        <f>AVERAGE(C20:AA20)</f>
        <v>84.703703703703695</v>
      </c>
      <c r="AE20" s="62">
        <v>8</v>
      </c>
    </row>
    <row r="21" spans="1:31" x14ac:dyDescent="0.3">
      <c r="A21" s="7">
        <v>14</v>
      </c>
      <c r="B21" s="42" t="s">
        <v>52</v>
      </c>
      <c r="C21" s="43">
        <v>82</v>
      </c>
      <c r="D21" s="41">
        <v>94.666666666666671</v>
      </c>
      <c r="E21" s="43">
        <v>90</v>
      </c>
      <c r="F21" s="41"/>
      <c r="G21" s="41"/>
      <c r="H21" s="41"/>
      <c r="I21" s="40"/>
      <c r="J21" s="40"/>
      <c r="K21" s="41"/>
      <c r="L21" s="43">
        <v>86</v>
      </c>
      <c r="M21" s="43">
        <v>83</v>
      </c>
      <c r="N21" s="41"/>
      <c r="O21" s="40"/>
      <c r="P21" s="41"/>
      <c r="Q21" s="40"/>
      <c r="R21" s="41"/>
      <c r="S21" s="40"/>
      <c r="T21" s="41"/>
      <c r="U21" s="43">
        <v>75</v>
      </c>
      <c r="V21" s="41"/>
      <c r="W21" s="40"/>
      <c r="X21" s="43">
        <v>84</v>
      </c>
      <c r="Y21" s="40"/>
      <c r="Z21" s="43">
        <v>77</v>
      </c>
      <c r="AA21" s="41"/>
      <c r="AB21" s="49">
        <f>SUM(C21:AA21)</f>
        <v>671.66666666666674</v>
      </c>
      <c r="AC21" s="59"/>
      <c r="AD21" s="44">
        <f>AVERAGE(C21:AA21)</f>
        <v>83.958333333333343</v>
      </c>
      <c r="AE21" s="62">
        <v>6</v>
      </c>
    </row>
    <row r="22" spans="1:31" x14ac:dyDescent="0.3">
      <c r="A22" s="7">
        <v>15</v>
      </c>
      <c r="B22" s="42" t="s">
        <v>129</v>
      </c>
      <c r="C22" s="43">
        <v>77</v>
      </c>
      <c r="D22" s="41">
        <v>93.333333333333329</v>
      </c>
      <c r="E22" s="43">
        <v>88</v>
      </c>
      <c r="F22" s="40"/>
      <c r="G22" s="41"/>
      <c r="H22" s="43">
        <v>83</v>
      </c>
      <c r="I22" s="41"/>
      <c r="J22" s="40"/>
      <c r="K22" s="41"/>
      <c r="L22" s="43">
        <v>82</v>
      </c>
      <c r="M22" s="43">
        <v>81</v>
      </c>
      <c r="N22" s="41"/>
      <c r="O22" s="40"/>
      <c r="P22" s="40"/>
      <c r="Q22" s="40"/>
      <c r="R22" s="41"/>
      <c r="S22" s="40"/>
      <c r="T22" s="40"/>
      <c r="U22" s="40"/>
      <c r="V22" s="43">
        <v>89</v>
      </c>
      <c r="W22" s="41"/>
      <c r="X22" s="40"/>
      <c r="Y22" s="40"/>
      <c r="Z22" s="43">
        <v>76</v>
      </c>
      <c r="AA22" s="41"/>
      <c r="AB22" s="49">
        <f>SUM(C22:AA22)</f>
        <v>669.33333333333326</v>
      </c>
      <c r="AC22" s="59"/>
      <c r="AD22" s="44">
        <f>AVERAGE(C22:AA22)</f>
        <v>83.666666666666657</v>
      </c>
      <c r="AE22" s="62">
        <v>6</v>
      </c>
    </row>
    <row r="23" spans="1:31" x14ac:dyDescent="0.3">
      <c r="A23" s="7">
        <v>16</v>
      </c>
      <c r="B23" s="42" t="s">
        <v>65</v>
      </c>
      <c r="C23" s="43">
        <v>75</v>
      </c>
      <c r="D23" s="41">
        <v>91.666666666666671</v>
      </c>
      <c r="E23" s="41"/>
      <c r="F23" s="43">
        <v>86</v>
      </c>
      <c r="G23" s="40"/>
      <c r="H23" s="43">
        <v>86</v>
      </c>
      <c r="I23" s="40"/>
      <c r="J23" s="40"/>
      <c r="K23" s="40"/>
      <c r="L23" s="43">
        <v>76</v>
      </c>
      <c r="M23" s="43">
        <v>81</v>
      </c>
      <c r="N23" s="41"/>
      <c r="O23" s="41"/>
      <c r="P23" s="41"/>
      <c r="Q23" s="41"/>
      <c r="R23" s="41"/>
      <c r="S23" s="40"/>
      <c r="T23" s="40"/>
      <c r="U23" s="43">
        <v>83</v>
      </c>
      <c r="V23" s="40"/>
      <c r="W23" s="40"/>
      <c r="X23" s="41"/>
      <c r="Y23" s="40"/>
      <c r="Z23" s="41"/>
      <c r="AA23" s="43">
        <v>89</v>
      </c>
      <c r="AB23" s="49">
        <f>SUM(C23:AA23)</f>
        <v>667.66666666666674</v>
      </c>
      <c r="AC23" s="59"/>
      <c r="AD23" s="44">
        <f>AVERAGE(C23:AA23)</f>
        <v>83.458333333333343</v>
      </c>
      <c r="AE23" s="62">
        <v>6</v>
      </c>
    </row>
    <row r="24" spans="1:31" x14ac:dyDescent="0.3">
      <c r="A24" s="7">
        <v>17</v>
      </c>
      <c r="B24" s="42" t="s">
        <v>93</v>
      </c>
      <c r="C24" s="43">
        <v>80</v>
      </c>
      <c r="D24" s="41">
        <v>87</v>
      </c>
      <c r="E24" s="41"/>
      <c r="F24" s="41"/>
      <c r="G24" s="43">
        <v>82</v>
      </c>
      <c r="H24" s="43">
        <v>75</v>
      </c>
      <c r="I24" s="41"/>
      <c r="J24" s="41"/>
      <c r="K24" s="41"/>
      <c r="L24" s="43">
        <v>83</v>
      </c>
      <c r="M24" s="41"/>
      <c r="N24" s="43">
        <v>86</v>
      </c>
      <c r="O24" s="41"/>
      <c r="P24" s="41"/>
      <c r="Q24" s="41"/>
      <c r="R24" s="43">
        <v>90</v>
      </c>
      <c r="S24" s="41"/>
      <c r="T24" s="41"/>
      <c r="U24" s="41"/>
      <c r="V24" s="41"/>
      <c r="W24" s="41"/>
      <c r="X24" s="41"/>
      <c r="Y24" s="41"/>
      <c r="Z24" s="41"/>
      <c r="AA24" s="43">
        <v>84</v>
      </c>
      <c r="AB24" s="49">
        <f>SUM(C24:AA24)</f>
        <v>667</v>
      </c>
      <c r="AC24" s="59"/>
      <c r="AD24" s="44">
        <f>AVERAGE(C24:AA24)</f>
        <v>83.375</v>
      </c>
      <c r="AE24" s="62">
        <v>7</v>
      </c>
    </row>
    <row r="25" spans="1:31" x14ac:dyDescent="0.3">
      <c r="A25" s="7">
        <v>18</v>
      </c>
      <c r="B25" s="42" t="s">
        <v>33</v>
      </c>
      <c r="C25" s="43">
        <v>83</v>
      </c>
      <c r="D25" s="41">
        <v>89</v>
      </c>
      <c r="E25" s="43">
        <v>82</v>
      </c>
      <c r="F25" s="41"/>
      <c r="G25" s="40"/>
      <c r="H25" s="41"/>
      <c r="I25" s="40"/>
      <c r="J25" s="41"/>
      <c r="K25" s="40"/>
      <c r="L25" s="43">
        <v>83</v>
      </c>
      <c r="M25" s="43">
        <v>86</v>
      </c>
      <c r="N25" s="41"/>
      <c r="O25" s="43">
        <v>83</v>
      </c>
      <c r="P25" s="43">
        <v>72</v>
      </c>
      <c r="Q25" s="40"/>
      <c r="R25" s="40"/>
      <c r="S25" s="41"/>
      <c r="T25" s="41"/>
      <c r="U25" s="41"/>
      <c r="V25" s="40"/>
      <c r="W25" s="40"/>
      <c r="X25" s="40"/>
      <c r="Y25" s="41"/>
      <c r="Z25" s="43">
        <v>77</v>
      </c>
      <c r="AA25" s="43">
        <v>88</v>
      </c>
      <c r="AB25" s="49">
        <f>SUM(C25:AA25)</f>
        <v>743</v>
      </c>
      <c r="AC25" s="59"/>
      <c r="AD25" s="44">
        <f>AVERAGE(C25:AA25)</f>
        <v>82.555555555555557</v>
      </c>
      <c r="AE25" s="62">
        <v>7</v>
      </c>
    </row>
    <row r="26" spans="1:31" x14ac:dyDescent="0.3">
      <c r="A26" s="7">
        <v>19</v>
      </c>
      <c r="B26" s="42" t="s">
        <v>15</v>
      </c>
      <c r="C26" s="43">
        <v>82</v>
      </c>
      <c r="D26" s="41">
        <v>92.666666666666671</v>
      </c>
      <c r="E26" s="40"/>
      <c r="F26" s="43">
        <v>76</v>
      </c>
      <c r="G26" s="41"/>
      <c r="H26" s="41"/>
      <c r="I26" s="41"/>
      <c r="J26" s="41"/>
      <c r="K26" s="41"/>
      <c r="L26" s="43">
        <v>82</v>
      </c>
      <c r="M26" s="43">
        <v>83</v>
      </c>
      <c r="N26" s="41"/>
      <c r="O26" s="40"/>
      <c r="P26" s="43">
        <v>85</v>
      </c>
      <c r="Q26" s="43">
        <v>75</v>
      </c>
      <c r="R26" s="41"/>
      <c r="S26" s="40"/>
      <c r="T26" s="40"/>
      <c r="U26" s="43">
        <v>81</v>
      </c>
      <c r="V26" s="40"/>
      <c r="W26" s="41"/>
      <c r="X26" s="40"/>
      <c r="Y26" s="41"/>
      <c r="Z26" s="43">
        <v>83</v>
      </c>
      <c r="AA26" s="41"/>
      <c r="AB26" s="49">
        <f>SUM(C26:AA26)</f>
        <v>739.66666666666674</v>
      </c>
      <c r="AC26" s="59"/>
      <c r="AD26" s="44">
        <f>AVERAGE(C26:AA26)</f>
        <v>82.18518518518519</v>
      </c>
      <c r="AE26" s="62">
        <v>7</v>
      </c>
    </row>
    <row r="27" spans="1:31" x14ac:dyDescent="0.3">
      <c r="A27" s="7">
        <v>20</v>
      </c>
      <c r="B27" s="42" t="s">
        <v>16</v>
      </c>
      <c r="C27" s="43">
        <v>91</v>
      </c>
      <c r="D27" s="41">
        <v>96.666666666666671</v>
      </c>
      <c r="E27" s="41"/>
      <c r="F27" s="43">
        <v>84</v>
      </c>
      <c r="G27" s="40"/>
      <c r="H27" s="40"/>
      <c r="I27" s="40"/>
      <c r="J27" s="40"/>
      <c r="K27" s="40"/>
      <c r="L27" s="43">
        <v>86</v>
      </c>
      <c r="M27" s="43">
        <v>82</v>
      </c>
      <c r="N27" s="41"/>
      <c r="O27" s="41"/>
      <c r="P27" s="43">
        <v>69</v>
      </c>
      <c r="Q27" s="43">
        <v>81</v>
      </c>
      <c r="R27" s="41"/>
      <c r="S27" s="40"/>
      <c r="T27" s="40"/>
      <c r="U27" s="43">
        <v>71</v>
      </c>
      <c r="V27" s="40"/>
      <c r="W27" s="40"/>
      <c r="X27" s="41"/>
      <c r="Y27" s="40"/>
      <c r="Z27" s="43">
        <v>74</v>
      </c>
      <c r="AA27" s="41"/>
      <c r="AB27" s="49">
        <f>SUM(C27:AA27)</f>
        <v>734.66666666666674</v>
      </c>
      <c r="AC27" s="59"/>
      <c r="AD27" s="44">
        <f>AVERAGE(C27:AA27)</f>
        <v>81.629629629629633</v>
      </c>
      <c r="AE27" s="62">
        <v>6</v>
      </c>
    </row>
    <row r="28" spans="1:31" x14ac:dyDescent="0.3">
      <c r="A28" s="7">
        <v>21</v>
      </c>
      <c r="B28" s="42" t="s">
        <v>86</v>
      </c>
      <c r="C28" s="43">
        <v>73</v>
      </c>
      <c r="D28" s="41">
        <v>87.333333333333329</v>
      </c>
      <c r="E28" s="40"/>
      <c r="F28" s="40"/>
      <c r="G28" s="43">
        <v>83</v>
      </c>
      <c r="H28" s="43">
        <v>71</v>
      </c>
      <c r="I28" s="41"/>
      <c r="J28" s="41"/>
      <c r="K28" s="41"/>
      <c r="L28" s="43">
        <v>74</v>
      </c>
      <c r="M28" s="41"/>
      <c r="N28" s="43">
        <v>89</v>
      </c>
      <c r="O28" s="40"/>
      <c r="P28" s="40"/>
      <c r="Q28" s="40"/>
      <c r="R28" s="43">
        <v>88</v>
      </c>
      <c r="S28" s="41"/>
      <c r="T28" s="41"/>
      <c r="U28" s="40"/>
      <c r="V28" s="40"/>
      <c r="W28" s="41"/>
      <c r="X28" s="40"/>
      <c r="Y28" s="41"/>
      <c r="Z28" s="40"/>
      <c r="AA28" s="43">
        <v>82</v>
      </c>
      <c r="AB28" s="49">
        <f>SUM(C28:AA28)</f>
        <v>647.33333333333326</v>
      </c>
      <c r="AC28" s="59"/>
      <c r="AD28" s="44">
        <f>AVERAGE(C28:AA28)</f>
        <v>80.916666666666657</v>
      </c>
      <c r="AE28" s="62">
        <v>5</v>
      </c>
    </row>
    <row r="29" spans="1:31" x14ac:dyDescent="0.3">
      <c r="A29" s="7">
        <v>22</v>
      </c>
      <c r="B29" s="42" t="s">
        <v>54</v>
      </c>
      <c r="C29" s="43">
        <v>76</v>
      </c>
      <c r="D29" s="41">
        <v>90.333333333333329</v>
      </c>
      <c r="E29" s="43">
        <v>85</v>
      </c>
      <c r="F29" s="41"/>
      <c r="G29" s="41"/>
      <c r="H29" s="41"/>
      <c r="I29" s="40"/>
      <c r="J29" s="40"/>
      <c r="K29" s="40"/>
      <c r="L29" s="43">
        <v>73</v>
      </c>
      <c r="M29" s="43">
        <v>82</v>
      </c>
      <c r="N29" s="41"/>
      <c r="O29" s="40"/>
      <c r="P29" s="40"/>
      <c r="Q29" s="40"/>
      <c r="R29" s="41"/>
      <c r="S29" s="40"/>
      <c r="T29" s="40"/>
      <c r="U29" s="43">
        <v>72</v>
      </c>
      <c r="V29" s="40"/>
      <c r="W29" s="40"/>
      <c r="X29" s="43">
        <v>85</v>
      </c>
      <c r="Y29" s="40"/>
      <c r="Z29" s="43">
        <v>82</v>
      </c>
      <c r="AA29" s="41"/>
      <c r="AB29" s="49">
        <f>SUM(C29:AA29)</f>
        <v>645.33333333333326</v>
      </c>
      <c r="AC29" s="59"/>
      <c r="AD29" s="44">
        <f>AVERAGE(C29:AA29)</f>
        <v>80.666666666666657</v>
      </c>
      <c r="AE29" s="62">
        <v>5</v>
      </c>
    </row>
    <row r="30" spans="1:31" x14ac:dyDescent="0.3">
      <c r="A30" s="7">
        <v>23</v>
      </c>
      <c r="B30" s="42" t="s">
        <v>136</v>
      </c>
      <c r="C30" s="43">
        <v>59</v>
      </c>
      <c r="D30" s="41">
        <v>89.333333333333329</v>
      </c>
      <c r="E30" s="40"/>
      <c r="F30" s="40"/>
      <c r="G30" s="41"/>
      <c r="H30" s="41"/>
      <c r="I30" s="40"/>
      <c r="J30" s="43">
        <v>85</v>
      </c>
      <c r="K30" s="40"/>
      <c r="L30" s="43">
        <v>72</v>
      </c>
      <c r="M30" s="41"/>
      <c r="N30" s="43">
        <v>82</v>
      </c>
      <c r="O30" s="40"/>
      <c r="P30" s="40"/>
      <c r="Q30" s="40"/>
      <c r="R30" s="41"/>
      <c r="S30" s="41"/>
      <c r="T30" s="41"/>
      <c r="U30" s="40"/>
      <c r="V30" s="40"/>
      <c r="W30" s="40"/>
      <c r="X30" s="40"/>
      <c r="Y30" s="43">
        <v>84</v>
      </c>
      <c r="Z30" s="40"/>
      <c r="AA30" s="43">
        <v>88</v>
      </c>
      <c r="AB30" s="49">
        <f>SUM(C30:AA30)</f>
        <v>559.33333333333326</v>
      </c>
      <c r="AC30" s="59"/>
      <c r="AD30" s="44">
        <f>AVERAGE(C30:AA30)</f>
        <v>79.904761904761898</v>
      </c>
      <c r="AE30" s="62">
        <v>5</v>
      </c>
    </row>
    <row r="31" spans="1:31" x14ac:dyDescent="0.3">
      <c r="A31" s="7">
        <v>24</v>
      </c>
      <c r="B31" s="42" t="s">
        <v>146</v>
      </c>
      <c r="C31" s="43">
        <v>59</v>
      </c>
      <c r="D31" s="41">
        <v>85.333333333333329</v>
      </c>
      <c r="E31" s="41"/>
      <c r="F31" s="41"/>
      <c r="G31" s="40"/>
      <c r="H31" s="41"/>
      <c r="I31" s="43">
        <v>89</v>
      </c>
      <c r="J31" s="40"/>
      <c r="K31" s="43">
        <v>82</v>
      </c>
      <c r="L31" s="43">
        <v>83</v>
      </c>
      <c r="M31" s="41"/>
      <c r="N31" s="43">
        <v>91</v>
      </c>
      <c r="O31" s="41"/>
      <c r="P31" s="41"/>
      <c r="Q31" s="40"/>
      <c r="R31" s="40"/>
      <c r="S31" s="40"/>
      <c r="T31" s="40"/>
      <c r="U31" s="41"/>
      <c r="V31" s="40"/>
      <c r="W31" s="43">
        <v>81</v>
      </c>
      <c r="X31" s="40"/>
      <c r="Y31" s="40"/>
      <c r="Z31" s="43"/>
      <c r="AA31" s="41">
        <v>68</v>
      </c>
      <c r="AB31" s="49">
        <f>SUM(C31:AA31)</f>
        <v>638.33333333333326</v>
      </c>
      <c r="AC31" s="59"/>
      <c r="AD31" s="44">
        <f>AVERAGE(C31:AA31)</f>
        <v>79.791666666666657</v>
      </c>
      <c r="AE31" s="62">
        <v>6</v>
      </c>
    </row>
    <row r="32" spans="1:31" x14ac:dyDescent="0.3">
      <c r="A32" s="7">
        <v>25</v>
      </c>
      <c r="B32" s="42" t="s">
        <v>55</v>
      </c>
      <c r="C32" s="43">
        <v>68</v>
      </c>
      <c r="D32" s="41">
        <v>88.333333333333329</v>
      </c>
      <c r="E32" s="43">
        <v>83</v>
      </c>
      <c r="F32" s="41"/>
      <c r="G32" s="41"/>
      <c r="H32" s="41"/>
      <c r="I32" s="41"/>
      <c r="J32" s="41"/>
      <c r="K32" s="41"/>
      <c r="L32" s="43">
        <v>82</v>
      </c>
      <c r="M32" s="43">
        <v>83</v>
      </c>
      <c r="N32" s="41"/>
      <c r="O32" s="41"/>
      <c r="P32" s="41"/>
      <c r="Q32" s="41"/>
      <c r="R32" s="41"/>
      <c r="S32" s="41"/>
      <c r="T32" s="41"/>
      <c r="U32" s="43">
        <v>72</v>
      </c>
      <c r="V32" s="41"/>
      <c r="W32" s="41"/>
      <c r="X32" s="43">
        <v>80</v>
      </c>
      <c r="Y32" s="41"/>
      <c r="Z32" s="43">
        <v>82</v>
      </c>
      <c r="AA32" s="41"/>
      <c r="AB32" s="49">
        <f>SUM(C32:AA32)</f>
        <v>638.33333333333326</v>
      </c>
      <c r="AC32" s="59"/>
      <c r="AD32" s="44">
        <f>AVERAGE(C32:AA32)</f>
        <v>79.791666666666657</v>
      </c>
      <c r="AE32" s="62">
        <v>6</v>
      </c>
    </row>
    <row r="33" spans="1:31" x14ac:dyDescent="0.3">
      <c r="A33" s="7">
        <v>26</v>
      </c>
      <c r="B33" s="42" t="s">
        <v>53</v>
      </c>
      <c r="C33" s="43">
        <v>80</v>
      </c>
      <c r="D33" s="41">
        <v>89</v>
      </c>
      <c r="E33" s="43">
        <v>82</v>
      </c>
      <c r="F33" s="41"/>
      <c r="G33" s="41"/>
      <c r="H33" s="41"/>
      <c r="I33" s="41"/>
      <c r="J33" s="41"/>
      <c r="K33" s="41"/>
      <c r="L33" s="43">
        <v>82</v>
      </c>
      <c r="M33" s="43">
        <v>80</v>
      </c>
      <c r="N33" s="41"/>
      <c r="O33" s="41"/>
      <c r="P33" s="41"/>
      <c r="Q33" s="41"/>
      <c r="R33" s="41"/>
      <c r="S33" s="41"/>
      <c r="T33" s="41"/>
      <c r="U33" s="43">
        <v>70</v>
      </c>
      <c r="V33" s="41"/>
      <c r="W33" s="41"/>
      <c r="X33" s="43">
        <v>83</v>
      </c>
      <c r="Y33" s="41"/>
      <c r="Z33" s="43">
        <v>70</v>
      </c>
      <c r="AA33" s="41"/>
      <c r="AB33" s="49">
        <f>SUM(C33:AA33)</f>
        <v>636</v>
      </c>
      <c r="AC33" s="59"/>
      <c r="AD33" s="44">
        <f>AVERAGE(C33:AA33)</f>
        <v>79.5</v>
      </c>
      <c r="AE33" s="62">
        <v>6</v>
      </c>
    </row>
    <row r="34" spans="1:31" x14ac:dyDescent="0.3">
      <c r="A34" s="7">
        <v>27</v>
      </c>
      <c r="B34" s="42" t="s">
        <v>128</v>
      </c>
      <c r="C34" s="43">
        <v>62</v>
      </c>
      <c r="D34" s="41">
        <v>90</v>
      </c>
      <c r="E34" s="43">
        <v>80</v>
      </c>
      <c r="F34" s="41"/>
      <c r="G34" s="40"/>
      <c r="H34" s="43">
        <v>83</v>
      </c>
      <c r="I34" s="40"/>
      <c r="J34" s="40"/>
      <c r="K34" s="40"/>
      <c r="L34" s="43">
        <v>65</v>
      </c>
      <c r="M34" s="43">
        <v>87</v>
      </c>
      <c r="N34" s="40"/>
      <c r="O34" s="41"/>
      <c r="P34" s="41"/>
      <c r="Q34" s="40"/>
      <c r="R34" s="40"/>
      <c r="S34" s="40"/>
      <c r="T34" s="40"/>
      <c r="U34" s="41"/>
      <c r="V34" s="43">
        <v>86</v>
      </c>
      <c r="W34" s="40"/>
      <c r="X34" s="41"/>
      <c r="Y34" s="40"/>
      <c r="Z34" s="43">
        <v>75</v>
      </c>
      <c r="AA34" s="41"/>
      <c r="AB34" s="49">
        <f>SUM(C34:AA34)</f>
        <v>628</v>
      </c>
      <c r="AC34" s="59"/>
      <c r="AD34" s="44">
        <f>AVERAGE(C34:AA34)</f>
        <v>78.5</v>
      </c>
      <c r="AE34" s="62">
        <v>5</v>
      </c>
    </row>
    <row r="35" spans="1:31" x14ac:dyDescent="0.3">
      <c r="A35" s="7">
        <v>28</v>
      </c>
      <c r="B35" s="42" t="s">
        <v>153</v>
      </c>
      <c r="C35" s="43">
        <v>59</v>
      </c>
      <c r="D35" s="41">
        <v>85</v>
      </c>
      <c r="E35" s="40"/>
      <c r="F35" s="40"/>
      <c r="G35" s="41"/>
      <c r="H35" s="41"/>
      <c r="I35" s="43">
        <v>88</v>
      </c>
      <c r="J35" s="40"/>
      <c r="K35" s="43">
        <v>80</v>
      </c>
      <c r="L35" s="43">
        <v>72</v>
      </c>
      <c r="M35" s="41"/>
      <c r="N35" s="43">
        <v>89</v>
      </c>
      <c r="O35" s="40"/>
      <c r="P35" s="40"/>
      <c r="Q35" s="40"/>
      <c r="R35" s="41"/>
      <c r="S35" s="41"/>
      <c r="T35" s="41"/>
      <c r="U35" s="40"/>
      <c r="V35" s="40"/>
      <c r="W35" s="43">
        <v>82</v>
      </c>
      <c r="X35" s="40"/>
      <c r="Y35" s="40"/>
      <c r="Z35" s="43"/>
      <c r="AA35" s="41">
        <v>72</v>
      </c>
      <c r="AB35" s="49">
        <f>SUM(C35:AA35)</f>
        <v>627</v>
      </c>
      <c r="AC35" s="59"/>
      <c r="AD35" s="44">
        <f>AVERAGE(C35:AA35)</f>
        <v>78.375</v>
      </c>
      <c r="AE35" s="62">
        <v>5</v>
      </c>
    </row>
    <row r="36" spans="1:31" x14ac:dyDescent="0.3">
      <c r="A36" s="7">
        <v>29</v>
      </c>
      <c r="B36" s="42" t="s">
        <v>138</v>
      </c>
      <c r="C36" s="43">
        <v>55</v>
      </c>
      <c r="D36" s="41">
        <v>82.666666666666671</v>
      </c>
      <c r="E36" s="40"/>
      <c r="F36" s="41"/>
      <c r="G36" s="41"/>
      <c r="H36" s="41"/>
      <c r="I36" s="40"/>
      <c r="J36" s="43">
        <v>82</v>
      </c>
      <c r="K36" s="40"/>
      <c r="L36" s="43">
        <v>62</v>
      </c>
      <c r="M36" s="41"/>
      <c r="N36" s="43">
        <v>92</v>
      </c>
      <c r="O36" s="41"/>
      <c r="P36" s="40"/>
      <c r="Q36" s="41"/>
      <c r="R36" s="41"/>
      <c r="S36" s="41"/>
      <c r="T36" s="41"/>
      <c r="U36" s="40"/>
      <c r="V36" s="40"/>
      <c r="W36" s="40"/>
      <c r="X36" s="40"/>
      <c r="Y36" s="43">
        <v>82</v>
      </c>
      <c r="Z36" s="40"/>
      <c r="AA36" s="43">
        <v>84</v>
      </c>
      <c r="AB36" s="49">
        <f>SUM(C36:AA36)</f>
        <v>539.66666666666674</v>
      </c>
      <c r="AC36" s="59"/>
      <c r="AD36" s="44">
        <f>AVERAGE(C36:AA36)</f>
        <v>77.095238095238102</v>
      </c>
      <c r="AE36" s="62">
        <v>5</v>
      </c>
    </row>
    <row r="37" spans="1:31" x14ac:dyDescent="0.3">
      <c r="A37" s="7">
        <v>30</v>
      </c>
      <c r="B37" s="42" t="s">
        <v>127</v>
      </c>
      <c r="C37" s="43">
        <v>62</v>
      </c>
      <c r="D37" s="41">
        <v>89.666666666666671</v>
      </c>
      <c r="E37" s="43">
        <v>80</v>
      </c>
      <c r="F37" s="41"/>
      <c r="G37" s="40"/>
      <c r="H37" s="43">
        <v>80</v>
      </c>
      <c r="I37" s="40"/>
      <c r="J37" s="40"/>
      <c r="K37" s="40"/>
      <c r="L37" s="43">
        <v>72</v>
      </c>
      <c r="M37" s="43">
        <v>83</v>
      </c>
      <c r="N37" s="40"/>
      <c r="O37" s="41"/>
      <c r="P37" s="41"/>
      <c r="Q37" s="41"/>
      <c r="R37" s="40"/>
      <c r="S37" s="40"/>
      <c r="T37" s="40"/>
      <c r="U37" s="41"/>
      <c r="V37" s="43">
        <v>84</v>
      </c>
      <c r="W37" s="40"/>
      <c r="X37" s="40"/>
      <c r="Y37" s="40"/>
      <c r="Z37" s="43">
        <v>64</v>
      </c>
      <c r="AA37" s="41"/>
      <c r="AB37" s="49">
        <f>SUM(C37:AA37)</f>
        <v>614.66666666666674</v>
      </c>
      <c r="AC37" s="59"/>
      <c r="AD37" s="44">
        <f>AVERAGE(C37:AA37)</f>
        <v>76.833333333333343</v>
      </c>
      <c r="AE37" s="62">
        <v>5</v>
      </c>
    </row>
    <row r="38" spans="1:31" x14ac:dyDescent="0.3">
      <c r="A38" s="7">
        <v>31</v>
      </c>
      <c r="B38" s="42" t="s">
        <v>157</v>
      </c>
      <c r="C38" s="43">
        <v>52</v>
      </c>
      <c r="D38" s="41">
        <v>84</v>
      </c>
      <c r="E38" s="41"/>
      <c r="F38" s="40"/>
      <c r="G38" s="41"/>
      <c r="H38" s="41"/>
      <c r="I38" s="43">
        <v>85</v>
      </c>
      <c r="J38" s="40"/>
      <c r="K38" s="43">
        <v>85</v>
      </c>
      <c r="L38" s="43">
        <v>58</v>
      </c>
      <c r="M38" s="41"/>
      <c r="N38" s="43">
        <v>85</v>
      </c>
      <c r="O38" s="41"/>
      <c r="P38" s="41"/>
      <c r="Q38" s="40"/>
      <c r="R38" s="41"/>
      <c r="S38" s="40"/>
      <c r="T38" s="40"/>
      <c r="U38" s="40"/>
      <c r="V38" s="40"/>
      <c r="W38" s="43">
        <v>83</v>
      </c>
      <c r="X38" s="40"/>
      <c r="Y38" s="40"/>
      <c r="Z38" s="43"/>
      <c r="AA38" s="41">
        <v>81</v>
      </c>
      <c r="AB38" s="49">
        <f>SUM(C38:AA38)</f>
        <v>613</v>
      </c>
      <c r="AC38" s="59"/>
      <c r="AD38" s="44">
        <f>AVERAGE(C38:AA38)</f>
        <v>76.625</v>
      </c>
      <c r="AE38" s="62">
        <v>6</v>
      </c>
    </row>
    <row r="39" spans="1:31" x14ac:dyDescent="0.3">
      <c r="A39" s="7">
        <v>32</v>
      </c>
      <c r="B39" s="42" t="s">
        <v>51</v>
      </c>
      <c r="C39" s="43">
        <v>55</v>
      </c>
      <c r="D39" s="41">
        <v>94</v>
      </c>
      <c r="E39" s="43">
        <v>80</v>
      </c>
      <c r="F39" s="41"/>
      <c r="G39" s="40"/>
      <c r="H39" s="40"/>
      <c r="I39" s="40"/>
      <c r="J39" s="40"/>
      <c r="K39" s="40"/>
      <c r="L39" s="43">
        <v>72</v>
      </c>
      <c r="M39" s="43">
        <v>81</v>
      </c>
      <c r="N39" s="40"/>
      <c r="O39" s="41"/>
      <c r="P39" s="41"/>
      <c r="Q39" s="41"/>
      <c r="R39" s="40"/>
      <c r="S39" s="40"/>
      <c r="T39" s="40"/>
      <c r="U39" s="43">
        <v>72</v>
      </c>
      <c r="V39" s="40"/>
      <c r="W39" s="40"/>
      <c r="X39" s="43">
        <v>74</v>
      </c>
      <c r="Y39" s="40"/>
      <c r="Z39" s="43">
        <v>81</v>
      </c>
      <c r="AA39" s="41"/>
      <c r="AB39" s="49">
        <f>SUM(C39:AA39)</f>
        <v>609</v>
      </c>
      <c r="AC39" s="59"/>
      <c r="AD39" s="44">
        <f>AVERAGE(C39:AA39)</f>
        <v>76.125</v>
      </c>
      <c r="AE39" s="62">
        <v>4</v>
      </c>
    </row>
    <row r="40" spans="1:31" ht="123.6" x14ac:dyDescent="0.3">
      <c r="A40" s="20" t="s">
        <v>171</v>
      </c>
      <c r="B40" s="34" t="s">
        <v>172</v>
      </c>
      <c r="C40" s="39" t="s">
        <v>3</v>
      </c>
      <c r="D40" s="39" t="s">
        <v>19</v>
      </c>
      <c r="E40" s="39" t="s">
        <v>163</v>
      </c>
      <c r="F40" s="39" t="s">
        <v>20</v>
      </c>
      <c r="G40" s="39" t="s">
        <v>174</v>
      </c>
      <c r="H40" s="39" t="s">
        <v>168</v>
      </c>
      <c r="I40" s="39" t="s">
        <v>159</v>
      </c>
      <c r="J40" s="39" t="s">
        <v>140</v>
      </c>
      <c r="K40" s="39" t="s">
        <v>160</v>
      </c>
      <c r="L40" s="39" t="s">
        <v>21</v>
      </c>
      <c r="M40" s="39" t="s">
        <v>22</v>
      </c>
      <c r="N40" s="39" t="s">
        <v>169</v>
      </c>
      <c r="O40" s="39" t="s">
        <v>46</v>
      </c>
      <c r="P40" s="39" t="s">
        <v>23</v>
      </c>
      <c r="Q40" s="39" t="s">
        <v>24</v>
      </c>
      <c r="R40" s="39" t="s">
        <v>109</v>
      </c>
      <c r="S40" s="39" t="s">
        <v>123</v>
      </c>
      <c r="T40" s="39" t="s">
        <v>124</v>
      </c>
      <c r="U40" s="39" t="s">
        <v>173</v>
      </c>
      <c r="V40" s="39" t="s">
        <v>131</v>
      </c>
      <c r="W40" s="39" t="s">
        <v>179</v>
      </c>
      <c r="X40" s="39" t="s">
        <v>164</v>
      </c>
      <c r="Y40" s="39" t="s">
        <v>141</v>
      </c>
      <c r="Z40" s="39" t="s">
        <v>165</v>
      </c>
      <c r="AA40" s="39" t="s">
        <v>47</v>
      </c>
      <c r="AB40" s="31" t="s">
        <v>166</v>
      </c>
      <c r="AC40" s="58"/>
      <c r="AD40" s="29" t="s">
        <v>167</v>
      </c>
      <c r="AE40" s="29" t="s">
        <v>189</v>
      </c>
    </row>
    <row r="42" spans="1:31" x14ac:dyDescent="0.3">
      <c r="A42" s="7">
        <v>33</v>
      </c>
      <c r="B42" s="42" t="s">
        <v>18</v>
      </c>
      <c r="C42" s="43">
        <v>81</v>
      </c>
      <c r="D42" s="41">
        <v>86.333333333333329</v>
      </c>
      <c r="E42" s="41"/>
      <c r="F42" s="43">
        <v>71</v>
      </c>
      <c r="G42" s="40"/>
      <c r="H42" s="40"/>
      <c r="I42" s="40"/>
      <c r="J42" s="40"/>
      <c r="K42" s="40"/>
      <c r="L42" s="43">
        <v>83</v>
      </c>
      <c r="M42" s="43">
        <v>80</v>
      </c>
      <c r="N42" s="40"/>
      <c r="O42" s="41"/>
      <c r="P42" s="43">
        <v>75</v>
      </c>
      <c r="Q42" s="43">
        <v>65</v>
      </c>
      <c r="R42" s="40"/>
      <c r="S42" s="40"/>
      <c r="T42" s="40"/>
      <c r="U42" s="43">
        <v>72</v>
      </c>
      <c r="V42" s="40"/>
      <c r="W42" s="40"/>
      <c r="X42" s="41"/>
      <c r="Y42" s="40"/>
      <c r="Z42" s="43">
        <v>70</v>
      </c>
      <c r="AA42" s="41"/>
      <c r="AB42" s="49">
        <f t="shared" ref="AB42:AB73" si="0">SUM(C42:AA42)</f>
        <v>683.33333333333326</v>
      </c>
      <c r="AC42" s="59"/>
      <c r="AD42" s="44">
        <f t="shared" ref="AD42:AD73" si="1">AVERAGE(C42:AA42)</f>
        <v>75.925925925925924</v>
      </c>
      <c r="AE42" s="62">
        <v>4</v>
      </c>
    </row>
    <row r="43" spans="1:31" x14ac:dyDescent="0.3">
      <c r="A43" s="7">
        <v>34</v>
      </c>
      <c r="B43" s="42" t="s">
        <v>17</v>
      </c>
      <c r="C43" s="43">
        <v>80</v>
      </c>
      <c r="D43" s="41">
        <v>87.666666666666671</v>
      </c>
      <c r="E43" s="41"/>
      <c r="F43" s="43">
        <v>62</v>
      </c>
      <c r="G43" s="41"/>
      <c r="H43" s="41"/>
      <c r="I43" s="40"/>
      <c r="J43" s="40"/>
      <c r="K43" s="40"/>
      <c r="L43" s="43">
        <v>75</v>
      </c>
      <c r="M43" s="43">
        <v>83</v>
      </c>
      <c r="N43" s="41"/>
      <c r="O43" s="41"/>
      <c r="P43" s="43">
        <v>78</v>
      </c>
      <c r="Q43" s="43">
        <v>65</v>
      </c>
      <c r="R43" s="41"/>
      <c r="S43" s="40"/>
      <c r="T43" s="40"/>
      <c r="U43" s="43">
        <v>77</v>
      </c>
      <c r="V43" s="41"/>
      <c r="W43" s="40"/>
      <c r="X43" s="40"/>
      <c r="Y43" s="40"/>
      <c r="Z43" s="43">
        <v>74</v>
      </c>
      <c r="AA43" s="41"/>
      <c r="AB43" s="49">
        <f t="shared" si="0"/>
        <v>681.66666666666674</v>
      </c>
      <c r="AC43" s="59"/>
      <c r="AD43" s="44">
        <f t="shared" si="1"/>
        <v>75.740740740740748</v>
      </c>
      <c r="AE43" s="62">
        <v>3</v>
      </c>
    </row>
    <row r="44" spans="1:31" x14ac:dyDescent="0.3">
      <c r="A44" s="7">
        <v>35</v>
      </c>
      <c r="B44" s="42" t="s">
        <v>130</v>
      </c>
      <c r="C44" s="43">
        <v>52</v>
      </c>
      <c r="D44" s="41">
        <v>86</v>
      </c>
      <c r="E44" s="43">
        <v>81</v>
      </c>
      <c r="F44" s="41"/>
      <c r="G44" s="41"/>
      <c r="H44" s="43">
        <v>73</v>
      </c>
      <c r="I44" s="41"/>
      <c r="J44" s="41"/>
      <c r="K44" s="41"/>
      <c r="L44" s="43">
        <v>83</v>
      </c>
      <c r="M44" s="43">
        <v>81</v>
      </c>
      <c r="N44" s="41"/>
      <c r="O44" s="41"/>
      <c r="P44" s="41"/>
      <c r="Q44" s="41"/>
      <c r="R44" s="41"/>
      <c r="S44" s="41"/>
      <c r="T44" s="41"/>
      <c r="U44" s="41"/>
      <c r="V44" s="43">
        <v>82</v>
      </c>
      <c r="W44" s="41"/>
      <c r="X44" s="41"/>
      <c r="Y44" s="41"/>
      <c r="Z44" s="43">
        <v>67</v>
      </c>
      <c r="AA44" s="41"/>
      <c r="AB44" s="49">
        <f t="shared" si="0"/>
        <v>605</v>
      </c>
      <c r="AC44" s="59"/>
      <c r="AD44" s="44">
        <f t="shared" si="1"/>
        <v>75.625</v>
      </c>
      <c r="AE44" s="62">
        <v>5</v>
      </c>
    </row>
    <row r="45" spans="1:31" x14ac:dyDescent="0.3">
      <c r="A45" s="7">
        <v>36</v>
      </c>
      <c r="B45" s="42" t="s">
        <v>143</v>
      </c>
      <c r="C45" s="43">
        <v>55</v>
      </c>
      <c r="D45" s="41">
        <v>88</v>
      </c>
      <c r="E45" s="41"/>
      <c r="F45" s="41"/>
      <c r="G45" s="40"/>
      <c r="H45" s="41"/>
      <c r="I45" s="43">
        <v>52</v>
      </c>
      <c r="J45" s="40"/>
      <c r="K45" s="43">
        <v>81</v>
      </c>
      <c r="L45" s="43">
        <v>81</v>
      </c>
      <c r="M45" s="41"/>
      <c r="N45" s="43">
        <v>87</v>
      </c>
      <c r="O45" s="41"/>
      <c r="P45" s="41"/>
      <c r="Q45" s="41"/>
      <c r="R45" s="40"/>
      <c r="S45" s="40"/>
      <c r="T45" s="41"/>
      <c r="U45" s="41"/>
      <c r="V45" s="40"/>
      <c r="W45" s="43">
        <v>84</v>
      </c>
      <c r="X45" s="41"/>
      <c r="Y45" s="40"/>
      <c r="Z45" s="43"/>
      <c r="AA45" s="41">
        <v>74</v>
      </c>
      <c r="AB45" s="49">
        <f t="shared" si="0"/>
        <v>602</v>
      </c>
      <c r="AC45" s="59"/>
      <c r="AD45" s="44">
        <f t="shared" si="1"/>
        <v>75.25</v>
      </c>
      <c r="AE45" s="62">
        <v>5</v>
      </c>
    </row>
    <row r="46" spans="1:31" x14ac:dyDescent="0.3">
      <c r="A46" s="7">
        <v>37</v>
      </c>
      <c r="B46" s="42" t="s">
        <v>101</v>
      </c>
      <c r="C46" s="43">
        <v>48</v>
      </c>
      <c r="D46" s="41">
        <v>86</v>
      </c>
      <c r="E46" s="41"/>
      <c r="F46" s="41"/>
      <c r="G46" s="43">
        <v>85</v>
      </c>
      <c r="H46" s="43">
        <v>74</v>
      </c>
      <c r="I46" s="41"/>
      <c r="J46" s="41"/>
      <c r="K46" s="41"/>
      <c r="L46" s="43">
        <v>58</v>
      </c>
      <c r="M46" s="41"/>
      <c r="N46" s="43">
        <v>82</v>
      </c>
      <c r="O46" s="41"/>
      <c r="P46" s="41"/>
      <c r="Q46" s="41"/>
      <c r="R46" s="43">
        <v>83</v>
      </c>
      <c r="S46" s="41"/>
      <c r="T46" s="41"/>
      <c r="U46" s="41"/>
      <c r="V46" s="41"/>
      <c r="W46" s="41"/>
      <c r="X46" s="41"/>
      <c r="Y46" s="41"/>
      <c r="Z46" s="41"/>
      <c r="AA46" s="43">
        <v>85</v>
      </c>
      <c r="AB46" s="49">
        <f t="shared" si="0"/>
        <v>601</v>
      </c>
      <c r="AC46" s="59"/>
      <c r="AD46" s="44">
        <f t="shared" si="1"/>
        <v>75.125</v>
      </c>
      <c r="AE46" s="62">
        <v>5</v>
      </c>
    </row>
    <row r="47" spans="1:31" x14ac:dyDescent="0.3">
      <c r="A47" s="7">
        <v>38</v>
      </c>
      <c r="B47" s="42" t="s">
        <v>43</v>
      </c>
      <c r="C47" s="43">
        <v>68</v>
      </c>
      <c r="D47" s="41">
        <v>91.333333333333329</v>
      </c>
      <c r="E47" s="43">
        <v>59</v>
      </c>
      <c r="F47" s="41"/>
      <c r="G47" s="41"/>
      <c r="H47" s="41"/>
      <c r="I47" s="41"/>
      <c r="J47" s="41"/>
      <c r="K47" s="41"/>
      <c r="L47" s="43">
        <v>65</v>
      </c>
      <c r="M47" s="43">
        <v>63</v>
      </c>
      <c r="N47" s="41"/>
      <c r="O47" s="43">
        <v>81</v>
      </c>
      <c r="P47" s="43">
        <v>70</v>
      </c>
      <c r="Q47" s="41"/>
      <c r="R47" s="41"/>
      <c r="S47" s="41"/>
      <c r="T47" s="41"/>
      <c r="U47" s="41"/>
      <c r="V47" s="41"/>
      <c r="W47" s="41"/>
      <c r="X47" s="41"/>
      <c r="Y47" s="41"/>
      <c r="Z47" s="43">
        <v>60</v>
      </c>
      <c r="AA47" s="43">
        <v>85</v>
      </c>
      <c r="AB47" s="49">
        <f t="shared" si="0"/>
        <v>642.33333333333326</v>
      </c>
      <c r="AC47" s="59"/>
      <c r="AD47" s="44">
        <f t="shared" si="1"/>
        <v>71.370370370370367</v>
      </c>
      <c r="AE47" s="62">
        <v>3</v>
      </c>
    </row>
    <row r="48" spans="1:31" x14ac:dyDescent="0.3">
      <c r="A48" s="7">
        <v>39</v>
      </c>
      <c r="B48" s="42" t="s">
        <v>32</v>
      </c>
      <c r="C48" s="43">
        <v>60</v>
      </c>
      <c r="D48" s="41">
        <v>74.333333333333329</v>
      </c>
      <c r="E48" s="43">
        <v>83</v>
      </c>
      <c r="F48" s="41"/>
      <c r="G48" s="40"/>
      <c r="H48" s="40"/>
      <c r="I48" s="40"/>
      <c r="J48" s="40"/>
      <c r="K48" s="40"/>
      <c r="L48" s="43">
        <v>68</v>
      </c>
      <c r="M48" s="43">
        <v>74</v>
      </c>
      <c r="N48" s="40"/>
      <c r="O48" s="43">
        <v>65</v>
      </c>
      <c r="P48" s="43">
        <v>65</v>
      </c>
      <c r="Q48" s="41"/>
      <c r="R48" s="40"/>
      <c r="S48" s="40"/>
      <c r="T48" s="40"/>
      <c r="U48" s="41"/>
      <c r="V48" s="40"/>
      <c r="W48" s="40"/>
      <c r="X48" s="40"/>
      <c r="Y48" s="40"/>
      <c r="Z48" s="43">
        <v>62</v>
      </c>
      <c r="AA48" s="43">
        <v>77</v>
      </c>
      <c r="AB48" s="49">
        <f t="shared" si="0"/>
        <v>628.33333333333326</v>
      </c>
      <c r="AC48" s="59"/>
      <c r="AD48" s="44">
        <f t="shared" si="1"/>
        <v>69.81481481481481</v>
      </c>
    </row>
    <row r="49" spans="1:31" x14ac:dyDescent="0.3">
      <c r="A49" s="7">
        <v>40</v>
      </c>
      <c r="B49" s="42" t="s">
        <v>41</v>
      </c>
      <c r="C49" s="43">
        <v>69</v>
      </c>
      <c r="D49" s="41">
        <v>79.333333333333329</v>
      </c>
      <c r="E49" s="43">
        <v>67</v>
      </c>
      <c r="F49" s="41"/>
      <c r="G49" s="41"/>
      <c r="H49" s="41"/>
      <c r="I49" s="41"/>
      <c r="J49" s="41"/>
      <c r="K49" s="41"/>
      <c r="L49" s="43">
        <v>54</v>
      </c>
      <c r="M49" s="43">
        <v>66</v>
      </c>
      <c r="N49" s="41"/>
      <c r="O49" s="43">
        <v>66</v>
      </c>
      <c r="P49" s="43">
        <v>75</v>
      </c>
      <c r="Q49" s="41"/>
      <c r="R49" s="41"/>
      <c r="S49" s="41"/>
      <c r="T49" s="41"/>
      <c r="U49" s="41"/>
      <c r="V49" s="41"/>
      <c r="W49" s="41"/>
      <c r="X49" s="41"/>
      <c r="Y49" s="41"/>
      <c r="Z49" s="43">
        <v>72</v>
      </c>
      <c r="AA49" s="43">
        <v>72</v>
      </c>
      <c r="AB49" s="49">
        <f t="shared" si="0"/>
        <v>620.33333333333326</v>
      </c>
      <c r="AC49" s="59"/>
      <c r="AD49" s="44">
        <f t="shared" si="1"/>
        <v>68.925925925925924</v>
      </c>
    </row>
    <row r="50" spans="1:31" x14ac:dyDescent="0.3">
      <c r="A50" s="7">
        <v>41</v>
      </c>
      <c r="B50" s="42" t="s">
        <v>83</v>
      </c>
      <c r="C50" s="43">
        <v>65</v>
      </c>
      <c r="D50" s="41">
        <v>89.666666666666671</v>
      </c>
      <c r="E50" s="41"/>
      <c r="F50" s="41"/>
      <c r="G50" s="43">
        <v>82</v>
      </c>
      <c r="H50" s="43">
        <v>62</v>
      </c>
      <c r="I50" s="41"/>
      <c r="J50" s="41"/>
      <c r="K50" s="41"/>
      <c r="L50" s="43">
        <v>41</v>
      </c>
      <c r="M50" s="41"/>
      <c r="N50" s="43">
        <v>69</v>
      </c>
      <c r="O50" s="41"/>
      <c r="P50" s="41"/>
      <c r="Q50" s="41"/>
      <c r="R50" s="43">
        <v>69</v>
      </c>
      <c r="S50" s="41"/>
      <c r="T50" s="41"/>
      <c r="U50" s="41"/>
      <c r="V50" s="41"/>
      <c r="W50" s="41"/>
      <c r="X50" s="41"/>
      <c r="Y50" s="41"/>
      <c r="Z50" s="41"/>
      <c r="AA50" s="43">
        <v>67</v>
      </c>
      <c r="AB50" s="49">
        <f t="shared" si="0"/>
        <v>544.66666666666674</v>
      </c>
      <c r="AC50" s="59"/>
      <c r="AD50" s="44">
        <f t="shared" si="1"/>
        <v>68.083333333333343</v>
      </c>
    </row>
    <row r="51" spans="1:31" x14ac:dyDescent="0.3">
      <c r="A51" s="7">
        <v>42</v>
      </c>
      <c r="B51" s="42" t="s">
        <v>64</v>
      </c>
      <c r="C51" s="43">
        <v>69</v>
      </c>
      <c r="D51" s="41">
        <v>82.333333333333329</v>
      </c>
      <c r="E51" s="41"/>
      <c r="F51" s="43">
        <v>65</v>
      </c>
      <c r="G51" s="41"/>
      <c r="H51" s="43">
        <v>80</v>
      </c>
      <c r="I51" s="41"/>
      <c r="J51" s="41"/>
      <c r="K51" s="41"/>
      <c r="L51" s="43">
        <v>83</v>
      </c>
      <c r="M51" s="43">
        <v>38</v>
      </c>
      <c r="N51" s="41"/>
      <c r="O51" s="41"/>
      <c r="P51" s="41"/>
      <c r="Q51" s="41"/>
      <c r="R51" s="41"/>
      <c r="S51" s="41"/>
      <c r="T51" s="41"/>
      <c r="U51" s="43">
        <v>52</v>
      </c>
      <c r="V51" s="41"/>
      <c r="W51" s="41"/>
      <c r="X51" s="41"/>
      <c r="Y51" s="41"/>
      <c r="Z51" s="41"/>
      <c r="AA51" s="43">
        <v>71</v>
      </c>
      <c r="AB51" s="49">
        <f t="shared" si="0"/>
        <v>540.33333333333326</v>
      </c>
      <c r="AC51" s="59"/>
      <c r="AD51" s="44">
        <f t="shared" si="1"/>
        <v>67.541666666666657</v>
      </c>
      <c r="AE51" s="62">
        <v>3</v>
      </c>
    </row>
    <row r="52" spans="1:31" x14ac:dyDescent="0.3">
      <c r="A52" s="7">
        <v>43</v>
      </c>
      <c r="B52" s="42" t="s">
        <v>37</v>
      </c>
      <c r="C52" s="43">
        <v>65</v>
      </c>
      <c r="D52" s="41">
        <v>78.333333333333329</v>
      </c>
      <c r="E52" s="43">
        <v>70</v>
      </c>
      <c r="F52" s="41"/>
      <c r="G52" s="40"/>
      <c r="H52" s="41"/>
      <c r="I52" s="40"/>
      <c r="J52" s="40"/>
      <c r="K52" s="40"/>
      <c r="L52" s="43">
        <v>65</v>
      </c>
      <c r="M52" s="43">
        <v>54</v>
      </c>
      <c r="N52" s="40"/>
      <c r="O52" s="43">
        <v>65</v>
      </c>
      <c r="P52" s="43">
        <v>65</v>
      </c>
      <c r="Q52" s="40"/>
      <c r="R52" s="40"/>
      <c r="S52" s="40"/>
      <c r="T52" s="40"/>
      <c r="U52" s="41"/>
      <c r="V52" s="40"/>
      <c r="W52" s="40"/>
      <c r="X52" s="41"/>
      <c r="Y52" s="40"/>
      <c r="Z52" s="43">
        <v>71</v>
      </c>
      <c r="AA52" s="43">
        <v>72</v>
      </c>
      <c r="AB52" s="49">
        <f t="shared" si="0"/>
        <v>605.33333333333326</v>
      </c>
      <c r="AC52" s="59"/>
      <c r="AD52" s="44">
        <f t="shared" si="1"/>
        <v>67.259259259259252</v>
      </c>
    </row>
    <row r="53" spans="1:31" x14ac:dyDescent="0.3">
      <c r="A53" s="7">
        <v>44</v>
      </c>
      <c r="B53" s="42" t="s">
        <v>88</v>
      </c>
      <c r="C53" s="43">
        <v>75</v>
      </c>
      <c r="D53" s="41">
        <v>84.666666666666671</v>
      </c>
      <c r="E53" s="40"/>
      <c r="F53" s="40"/>
      <c r="G53" s="43">
        <v>66</v>
      </c>
      <c r="H53" s="43">
        <v>62</v>
      </c>
      <c r="I53" s="41"/>
      <c r="J53" s="40"/>
      <c r="K53" s="41"/>
      <c r="L53" s="43">
        <v>65</v>
      </c>
      <c r="M53" s="41"/>
      <c r="N53" s="43">
        <v>75</v>
      </c>
      <c r="O53" s="40"/>
      <c r="P53" s="40"/>
      <c r="Q53" s="40"/>
      <c r="R53" s="43">
        <v>52</v>
      </c>
      <c r="S53" s="41"/>
      <c r="T53" s="41"/>
      <c r="U53" s="40"/>
      <c r="V53" s="40"/>
      <c r="W53" s="41"/>
      <c r="X53" s="40"/>
      <c r="Y53" s="40"/>
      <c r="Z53" s="40"/>
      <c r="AA53" s="43">
        <v>58</v>
      </c>
      <c r="AB53" s="49">
        <f t="shared" si="0"/>
        <v>537.66666666666674</v>
      </c>
      <c r="AC53" s="59"/>
      <c r="AD53" s="44">
        <f t="shared" si="1"/>
        <v>67.208333333333343</v>
      </c>
    </row>
    <row r="54" spans="1:31" x14ac:dyDescent="0.3">
      <c r="A54" s="7">
        <v>45</v>
      </c>
      <c r="B54" s="42" t="s">
        <v>40</v>
      </c>
      <c r="C54" s="43">
        <v>62</v>
      </c>
      <c r="D54" s="41">
        <v>91</v>
      </c>
      <c r="E54" s="43">
        <v>52</v>
      </c>
      <c r="F54" s="41"/>
      <c r="G54" s="41"/>
      <c r="H54" s="41"/>
      <c r="I54" s="41"/>
      <c r="J54" s="41"/>
      <c r="K54" s="41"/>
      <c r="L54" s="43">
        <v>71</v>
      </c>
      <c r="M54" s="43">
        <v>58</v>
      </c>
      <c r="N54" s="41"/>
      <c r="O54" s="43">
        <v>65</v>
      </c>
      <c r="P54" s="43">
        <v>69</v>
      </c>
      <c r="Q54" s="41"/>
      <c r="R54" s="41"/>
      <c r="S54" s="41"/>
      <c r="T54" s="41"/>
      <c r="U54" s="41"/>
      <c r="V54" s="41"/>
      <c r="W54" s="41"/>
      <c r="X54" s="41"/>
      <c r="Y54" s="41"/>
      <c r="Z54" s="43">
        <v>62</v>
      </c>
      <c r="AA54" s="43">
        <v>72</v>
      </c>
      <c r="AB54" s="49">
        <f t="shared" si="0"/>
        <v>602</v>
      </c>
      <c r="AC54" s="59"/>
      <c r="AD54" s="44">
        <f t="shared" si="1"/>
        <v>66.888888888888886</v>
      </c>
    </row>
    <row r="55" spans="1:31" x14ac:dyDescent="0.3">
      <c r="A55" s="7">
        <v>46</v>
      </c>
      <c r="B55" s="43" t="s">
        <v>36</v>
      </c>
      <c r="C55" s="43">
        <v>69</v>
      </c>
      <c r="D55" s="41">
        <v>76.666666666666671</v>
      </c>
      <c r="E55" s="43">
        <v>62</v>
      </c>
      <c r="F55" s="41"/>
      <c r="G55" s="41"/>
      <c r="H55" s="41"/>
      <c r="I55" s="41"/>
      <c r="J55" s="41"/>
      <c r="K55" s="41"/>
      <c r="L55" s="43">
        <v>62</v>
      </c>
      <c r="M55" s="43">
        <v>65</v>
      </c>
      <c r="N55" s="41"/>
      <c r="O55" s="43">
        <v>75</v>
      </c>
      <c r="P55" s="43">
        <v>58</v>
      </c>
      <c r="Q55" s="41"/>
      <c r="R55" s="41"/>
      <c r="S55" s="41"/>
      <c r="T55" s="41"/>
      <c r="U55" s="41"/>
      <c r="V55" s="41"/>
      <c r="W55" s="41"/>
      <c r="X55" s="41"/>
      <c r="Y55" s="41"/>
      <c r="Z55" s="43">
        <v>62</v>
      </c>
      <c r="AA55" s="43">
        <v>71</v>
      </c>
      <c r="AB55" s="49">
        <f t="shared" si="0"/>
        <v>600.66666666666674</v>
      </c>
      <c r="AC55" s="59"/>
      <c r="AD55" s="44">
        <f t="shared" si="1"/>
        <v>66.740740740740748</v>
      </c>
    </row>
    <row r="56" spans="1:31" x14ac:dyDescent="0.3">
      <c r="A56" s="7">
        <v>47</v>
      </c>
      <c r="B56" s="42" t="s">
        <v>61</v>
      </c>
      <c r="C56" s="43">
        <v>80</v>
      </c>
      <c r="D56" s="41">
        <v>83</v>
      </c>
      <c r="E56" s="43">
        <v>58</v>
      </c>
      <c r="F56" s="41"/>
      <c r="G56" s="41"/>
      <c r="H56" s="41"/>
      <c r="I56" s="40"/>
      <c r="J56" s="40"/>
      <c r="K56" s="40"/>
      <c r="L56" s="43">
        <v>66</v>
      </c>
      <c r="M56" s="43">
        <v>65</v>
      </c>
      <c r="N56" s="41"/>
      <c r="O56" s="41"/>
      <c r="P56" s="41"/>
      <c r="Q56" s="41"/>
      <c r="R56" s="41"/>
      <c r="S56" s="40"/>
      <c r="T56" s="41"/>
      <c r="U56" s="43">
        <v>55</v>
      </c>
      <c r="V56" s="40"/>
      <c r="W56" s="40"/>
      <c r="X56" s="43">
        <v>62</v>
      </c>
      <c r="Y56" s="40"/>
      <c r="Z56" s="43">
        <v>61</v>
      </c>
      <c r="AA56" s="41"/>
      <c r="AB56" s="49">
        <f t="shared" si="0"/>
        <v>530</v>
      </c>
      <c r="AC56" s="59"/>
      <c r="AD56" s="44">
        <f t="shared" si="1"/>
        <v>66.25</v>
      </c>
    </row>
    <row r="57" spans="1:31" x14ac:dyDescent="0.3">
      <c r="A57" s="7">
        <v>48</v>
      </c>
      <c r="B57" s="42" t="s">
        <v>34</v>
      </c>
      <c r="C57" s="43">
        <v>65</v>
      </c>
      <c r="D57" s="41">
        <v>74.666666666666671</v>
      </c>
      <c r="E57" s="43">
        <v>68</v>
      </c>
      <c r="F57" s="41"/>
      <c r="G57" s="41"/>
      <c r="H57" s="41"/>
      <c r="I57" s="41"/>
      <c r="J57" s="40"/>
      <c r="K57" s="41"/>
      <c r="L57" s="43">
        <v>58</v>
      </c>
      <c r="M57" s="43">
        <v>59</v>
      </c>
      <c r="N57" s="41"/>
      <c r="O57" s="43">
        <v>58</v>
      </c>
      <c r="P57" s="43">
        <v>65</v>
      </c>
      <c r="Q57" s="40"/>
      <c r="R57" s="41"/>
      <c r="S57" s="40"/>
      <c r="T57" s="40"/>
      <c r="U57" s="41"/>
      <c r="V57" s="40"/>
      <c r="W57" s="41"/>
      <c r="X57" s="40"/>
      <c r="Y57" s="40"/>
      <c r="Z57" s="43">
        <v>70</v>
      </c>
      <c r="AA57" s="43">
        <v>76</v>
      </c>
      <c r="AB57" s="49">
        <f t="shared" si="0"/>
        <v>593.66666666666674</v>
      </c>
      <c r="AC57" s="59"/>
      <c r="AD57" s="44">
        <f t="shared" si="1"/>
        <v>65.962962962962976</v>
      </c>
    </row>
    <row r="58" spans="1:31" x14ac:dyDescent="0.3">
      <c r="A58" s="7">
        <v>49</v>
      </c>
      <c r="B58" s="42" t="s">
        <v>60</v>
      </c>
      <c r="C58" s="43">
        <v>58</v>
      </c>
      <c r="D58" s="41">
        <v>75</v>
      </c>
      <c r="E58" s="43">
        <v>81</v>
      </c>
      <c r="F58" s="40"/>
      <c r="G58" s="41"/>
      <c r="H58" s="41"/>
      <c r="I58" s="40"/>
      <c r="J58" s="40"/>
      <c r="K58" s="40"/>
      <c r="L58" s="43">
        <v>63</v>
      </c>
      <c r="M58" s="43">
        <v>62</v>
      </c>
      <c r="N58" s="41"/>
      <c r="O58" s="41"/>
      <c r="P58" s="41"/>
      <c r="Q58" s="40"/>
      <c r="R58" s="41"/>
      <c r="S58" s="40"/>
      <c r="T58" s="40"/>
      <c r="U58" s="43">
        <v>52</v>
      </c>
      <c r="V58" s="40"/>
      <c r="W58" s="40"/>
      <c r="X58" s="43">
        <v>63</v>
      </c>
      <c r="Y58" s="40"/>
      <c r="Z58" s="43">
        <v>62</v>
      </c>
      <c r="AA58" s="41"/>
      <c r="AB58" s="49">
        <f t="shared" si="0"/>
        <v>516</v>
      </c>
      <c r="AC58" s="59"/>
      <c r="AD58" s="44">
        <f t="shared" si="1"/>
        <v>64.5</v>
      </c>
    </row>
    <row r="59" spans="1:31" x14ac:dyDescent="0.3">
      <c r="A59" s="7">
        <v>50</v>
      </c>
      <c r="B59" s="42" t="s">
        <v>117</v>
      </c>
      <c r="C59" s="43">
        <v>42</v>
      </c>
      <c r="D59" s="41">
        <v>84.333333333333329</v>
      </c>
      <c r="E59" s="41"/>
      <c r="F59" s="41"/>
      <c r="G59" s="40"/>
      <c r="H59" s="43">
        <v>62</v>
      </c>
      <c r="I59" s="40"/>
      <c r="J59" s="40"/>
      <c r="K59" s="40"/>
      <c r="L59" s="43">
        <v>45</v>
      </c>
      <c r="M59" s="43">
        <v>42</v>
      </c>
      <c r="N59" s="47"/>
      <c r="O59" s="41"/>
      <c r="P59" s="41"/>
      <c r="Q59" s="40"/>
      <c r="R59" s="40"/>
      <c r="S59" s="43">
        <v>82</v>
      </c>
      <c r="T59" s="43">
        <v>82</v>
      </c>
      <c r="U59" s="41"/>
      <c r="V59" s="40"/>
      <c r="W59" s="40"/>
      <c r="X59" s="41"/>
      <c r="Y59" s="40"/>
      <c r="Z59" s="41"/>
      <c r="AA59" s="43">
        <v>75</v>
      </c>
      <c r="AB59" s="49">
        <f t="shared" si="0"/>
        <v>514.33333333333326</v>
      </c>
      <c r="AC59" s="59"/>
      <c r="AD59" s="44">
        <f t="shared" si="1"/>
        <v>64.291666666666657</v>
      </c>
      <c r="AE59" s="62">
        <v>3</v>
      </c>
    </row>
    <row r="60" spans="1:31" x14ac:dyDescent="0.3">
      <c r="A60" s="7">
        <v>51</v>
      </c>
      <c r="B60" s="42" t="s">
        <v>39</v>
      </c>
      <c r="C60" s="43">
        <v>60</v>
      </c>
      <c r="D60" s="41">
        <v>76.666666666666671</v>
      </c>
      <c r="E60" s="43">
        <v>55</v>
      </c>
      <c r="F60" s="41"/>
      <c r="G60" s="41"/>
      <c r="H60" s="41"/>
      <c r="I60" s="40"/>
      <c r="J60" s="40"/>
      <c r="K60" s="40"/>
      <c r="L60" s="43">
        <v>56</v>
      </c>
      <c r="M60" s="43">
        <v>69</v>
      </c>
      <c r="N60" s="41"/>
      <c r="O60" s="43">
        <v>65</v>
      </c>
      <c r="P60" s="43">
        <v>69</v>
      </c>
      <c r="Q60" s="40"/>
      <c r="R60" s="41"/>
      <c r="S60" s="40"/>
      <c r="T60" s="40"/>
      <c r="U60" s="41"/>
      <c r="V60" s="40"/>
      <c r="W60" s="40"/>
      <c r="X60" s="41"/>
      <c r="Y60" s="40"/>
      <c r="Z60" s="43">
        <v>55</v>
      </c>
      <c r="AA60" s="43">
        <v>65</v>
      </c>
      <c r="AB60" s="49">
        <f t="shared" si="0"/>
        <v>570.66666666666674</v>
      </c>
      <c r="AC60" s="59"/>
      <c r="AD60" s="44">
        <f t="shared" si="1"/>
        <v>63.407407407407419</v>
      </c>
    </row>
    <row r="61" spans="1:31" x14ac:dyDescent="0.3">
      <c r="A61" s="7">
        <v>52</v>
      </c>
      <c r="B61" s="42" t="s">
        <v>42</v>
      </c>
      <c r="C61" s="43">
        <v>58</v>
      </c>
      <c r="D61" s="41">
        <v>81.333333333333329</v>
      </c>
      <c r="E61" s="43">
        <v>58</v>
      </c>
      <c r="F61" s="41"/>
      <c r="G61" s="41"/>
      <c r="H61" s="41"/>
      <c r="I61" s="40"/>
      <c r="J61" s="40"/>
      <c r="K61" s="40"/>
      <c r="L61" s="43">
        <v>62</v>
      </c>
      <c r="M61" s="43">
        <v>55</v>
      </c>
      <c r="N61" s="41"/>
      <c r="O61" s="43">
        <v>59</v>
      </c>
      <c r="P61" s="43">
        <v>65</v>
      </c>
      <c r="Q61" s="40"/>
      <c r="R61" s="41"/>
      <c r="S61" s="40"/>
      <c r="T61" s="40"/>
      <c r="U61" s="41"/>
      <c r="V61" s="40"/>
      <c r="W61" s="40"/>
      <c r="X61" s="41"/>
      <c r="Y61" s="40"/>
      <c r="Z61" s="43">
        <v>55</v>
      </c>
      <c r="AA61" s="43">
        <v>70</v>
      </c>
      <c r="AB61" s="49">
        <f t="shared" si="0"/>
        <v>563.33333333333326</v>
      </c>
      <c r="AC61" s="59"/>
      <c r="AD61" s="44">
        <f t="shared" si="1"/>
        <v>62.592592592592581</v>
      </c>
    </row>
    <row r="62" spans="1:31" x14ac:dyDescent="0.3">
      <c r="A62" s="7">
        <v>53</v>
      </c>
      <c r="B62" s="42" t="s">
        <v>145</v>
      </c>
      <c r="C62" s="43">
        <v>47</v>
      </c>
      <c r="D62" s="41">
        <v>74</v>
      </c>
      <c r="E62" s="41"/>
      <c r="F62" s="40"/>
      <c r="G62" s="41"/>
      <c r="H62" s="41"/>
      <c r="I62" s="43">
        <v>54</v>
      </c>
      <c r="J62" s="40"/>
      <c r="K62" s="43">
        <v>81</v>
      </c>
      <c r="L62" s="43">
        <v>65</v>
      </c>
      <c r="M62" s="41"/>
      <c r="N62" s="43">
        <v>56</v>
      </c>
      <c r="O62" s="40"/>
      <c r="P62" s="40"/>
      <c r="Q62" s="40"/>
      <c r="R62" s="41"/>
      <c r="S62" s="40"/>
      <c r="T62" s="40"/>
      <c r="U62" s="41"/>
      <c r="V62" s="40"/>
      <c r="W62" s="43">
        <v>62</v>
      </c>
      <c r="X62" s="41"/>
      <c r="Y62" s="40"/>
      <c r="Z62" s="43"/>
      <c r="AA62" s="41">
        <v>60</v>
      </c>
      <c r="AB62" s="49">
        <f t="shared" si="0"/>
        <v>499</v>
      </c>
      <c r="AC62" s="59"/>
      <c r="AD62" s="44">
        <f t="shared" si="1"/>
        <v>62.375</v>
      </c>
    </row>
    <row r="63" spans="1:31" x14ac:dyDescent="0.3">
      <c r="A63" s="7">
        <v>54</v>
      </c>
      <c r="B63" s="42" t="s">
        <v>87</v>
      </c>
      <c r="C63" s="43">
        <v>54</v>
      </c>
      <c r="D63" s="41">
        <v>90.333333333333329</v>
      </c>
      <c r="E63" s="41"/>
      <c r="F63" s="40"/>
      <c r="G63" s="43">
        <v>50</v>
      </c>
      <c r="H63" s="43">
        <v>52</v>
      </c>
      <c r="I63" s="40"/>
      <c r="J63" s="40"/>
      <c r="K63" s="40"/>
      <c r="L63" s="43">
        <v>54</v>
      </c>
      <c r="M63" s="41"/>
      <c r="N63" s="43">
        <v>41</v>
      </c>
      <c r="O63" s="41"/>
      <c r="P63" s="41"/>
      <c r="Q63" s="40"/>
      <c r="R63" s="43">
        <v>87</v>
      </c>
      <c r="S63" s="40"/>
      <c r="T63" s="40"/>
      <c r="U63" s="40"/>
      <c r="V63" s="41"/>
      <c r="W63" s="40"/>
      <c r="X63" s="40"/>
      <c r="Y63" s="40"/>
      <c r="Z63" s="41"/>
      <c r="AA63" s="43">
        <v>69</v>
      </c>
      <c r="AB63" s="49">
        <f t="shared" si="0"/>
        <v>497.33333333333331</v>
      </c>
      <c r="AC63" s="59"/>
      <c r="AD63" s="44">
        <f t="shared" si="1"/>
        <v>62.166666666666664</v>
      </c>
    </row>
    <row r="64" spans="1:31" x14ac:dyDescent="0.3">
      <c r="A64" s="7">
        <v>55</v>
      </c>
      <c r="B64" s="42" t="s">
        <v>57</v>
      </c>
      <c r="C64" s="43">
        <v>62</v>
      </c>
      <c r="D64" s="41">
        <v>76.666666666666671</v>
      </c>
      <c r="E64" s="43">
        <v>65</v>
      </c>
      <c r="F64" s="41"/>
      <c r="G64" s="41"/>
      <c r="H64" s="41"/>
      <c r="I64" s="40"/>
      <c r="J64" s="40"/>
      <c r="K64" s="40"/>
      <c r="L64" s="43">
        <v>55</v>
      </c>
      <c r="M64" s="43">
        <v>65</v>
      </c>
      <c r="N64" s="41"/>
      <c r="O64" s="40"/>
      <c r="P64" s="40"/>
      <c r="Q64" s="40"/>
      <c r="R64" s="41"/>
      <c r="S64" s="40"/>
      <c r="T64" s="40"/>
      <c r="U64" s="43">
        <v>55</v>
      </c>
      <c r="V64" s="40"/>
      <c r="W64" s="40"/>
      <c r="X64" s="43">
        <v>62</v>
      </c>
      <c r="Y64" s="40"/>
      <c r="Z64" s="43">
        <v>56</v>
      </c>
      <c r="AA64" s="41"/>
      <c r="AB64" s="49">
        <f t="shared" si="0"/>
        <v>496.66666666666669</v>
      </c>
      <c r="AC64" s="59"/>
      <c r="AD64" s="44">
        <f t="shared" si="1"/>
        <v>62.083333333333336</v>
      </c>
    </row>
    <row r="65" spans="1:31" x14ac:dyDescent="0.3">
      <c r="A65" s="7">
        <v>56</v>
      </c>
      <c r="B65" s="42" t="s">
        <v>113</v>
      </c>
      <c r="C65" s="43">
        <v>33</v>
      </c>
      <c r="D65" s="41">
        <v>82.666666666666671</v>
      </c>
      <c r="E65" s="41"/>
      <c r="F65" s="41"/>
      <c r="G65" s="41"/>
      <c r="H65" s="43">
        <v>50</v>
      </c>
      <c r="I65" s="41"/>
      <c r="J65" s="41"/>
      <c r="K65" s="41"/>
      <c r="L65" s="43">
        <v>41</v>
      </c>
      <c r="M65" s="43">
        <v>39</v>
      </c>
      <c r="N65" s="41"/>
      <c r="O65" s="41"/>
      <c r="P65" s="41"/>
      <c r="Q65" s="41"/>
      <c r="R65" s="41"/>
      <c r="S65" s="43">
        <v>86</v>
      </c>
      <c r="T65" s="43">
        <v>81</v>
      </c>
      <c r="U65" s="41"/>
      <c r="V65" s="41"/>
      <c r="W65" s="41"/>
      <c r="X65" s="41"/>
      <c r="Y65" s="41"/>
      <c r="Z65" s="41"/>
      <c r="AA65" s="43">
        <v>81</v>
      </c>
      <c r="AB65" s="49">
        <f t="shared" si="0"/>
        <v>493.66666666666669</v>
      </c>
      <c r="AC65" s="59"/>
      <c r="AD65" s="44">
        <f t="shared" si="1"/>
        <v>61.708333333333336</v>
      </c>
      <c r="AE65" s="62">
        <v>4</v>
      </c>
    </row>
    <row r="66" spans="1:31" x14ac:dyDescent="0.3">
      <c r="A66" s="7">
        <v>57</v>
      </c>
      <c r="B66" s="42" t="s">
        <v>119</v>
      </c>
      <c r="C66" s="43">
        <v>60</v>
      </c>
      <c r="D66" s="41">
        <v>58.333333333333336</v>
      </c>
      <c r="E66" s="41"/>
      <c r="F66" s="41"/>
      <c r="G66" s="41"/>
      <c r="H66" s="43">
        <v>54</v>
      </c>
      <c r="I66" s="41"/>
      <c r="J66" s="41"/>
      <c r="K66" s="41"/>
      <c r="L66" s="43">
        <v>52</v>
      </c>
      <c r="M66" s="43">
        <v>65</v>
      </c>
      <c r="N66" s="41"/>
      <c r="O66" s="41"/>
      <c r="P66" s="41"/>
      <c r="Q66" s="41"/>
      <c r="R66" s="41"/>
      <c r="S66" s="43">
        <v>60</v>
      </c>
      <c r="T66" s="43">
        <v>71</v>
      </c>
      <c r="U66" s="41"/>
      <c r="V66" s="41"/>
      <c r="W66" s="41"/>
      <c r="X66" s="41"/>
      <c r="Y66" s="41"/>
      <c r="Z66" s="41"/>
      <c r="AA66" s="43">
        <v>73</v>
      </c>
      <c r="AB66" s="49">
        <f t="shared" si="0"/>
        <v>493.33333333333337</v>
      </c>
      <c r="AC66" s="59"/>
      <c r="AD66" s="44">
        <f t="shared" si="1"/>
        <v>61.666666666666671</v>
      </c>
    </row>
    <row r="67" spans="1:31" x14ac:dyDescent="0.3">
      <c r="A67" s="7">
        <v>58</v>
      </c>
      <c r="B67" s="42" t="s">
        <v>38</v>
      </c>
      <c r="C67" s="43">
        <v>52</v>
      </c>
      <c r="D67" s="41">
        <v>81.333333333333329</v>
      </c>
      <c r="E67" s="43">
        <v>60</v>
      </c>
      <c r="F67" s="40"/>
      <c r="G67" s="41"/>
      <c r="H67" s="41"/>
      <c r="I67" s="40"/>
      <c r="J67" s="40"/>
      <c r="K67" s="40"/>
      <c r="L67" s="43">
        <v>55</v>
      </c>
      <c r="M67" s="43">
        <v>56</v>
      </c>
      <c r="N67" s="41"/>
      <c r="O67" s="43">
        <v>62</v>
      </c>
      <c r="P67" s="43">
        <v>75</v>
      </c>
      <c r="Q67" s="40"/>
      <c r="R67" s="41"/>
      <c r="S67" s="41"/>
      <c r="T67" s="41"/>
      <c r="U67" s="40"/>
      <c r="V67" s="41"/>
      <c r="W67" s="40"/>
      <c r="X67" s="40"/>
      <c r="Y67" s="40"/>
      <c r="Z67" s="43">
        <v>48</v>
      </c>
      <c r="AA67" s="43">
        <v>62</v>
      </c>
      <c r="AB67" s="49">
        <f t="shared" si="0"/>
        <v>551.33333333333326</v>
      </c>
      <c r="AC67" s="59"/>
      <c r="AD67" s="44">
        <f t="shared" si="1"/>
        <v>61.259259259259252</v>
      </c>
    </row>
    <row r="68" spans="1:31" x14ac:dyDescent="0.3">
      <c r="A68" s="7">
        <v>59</v>
      </c>
      <c r="B68" s="42" t="s">
        <v>151</v>
      </c>
      <c r="C68" s="43">
        <v>40</v>
      </c>
      <c r="D68" s="41">
        <v>68.666666666666671</v>
      </c>
      <c r="E68" s="41"/>
      <c r="F68" s="41"/>
      <c r="G68" s="41"/>
      <c r="H68" s="41"/>
      <c r="I68" s="43">
        <v>80</v>
      </c>
      <c r="J68" s="41"/>
      <c r="K68" s="43">
        <v>66</v>
      </c>
      <c r="L68" s="43">
        <v>29</v>
      </c>
      <c r="M68" s="41"/>
      <c r="N68" s="43">
        <v>62</v>
      </c>
      <c r="O68" s="41"/>
      <c r="P68" s="41"/>
      <c r="Q68" s="41"/>
      <c r="R68" s="41"/>
      <c r="S68" s="41"/>
      <c r="T68" s="41"/>
      <c r="U68" s="41"/>
      <c r="V68" s="41"/>
      <c r="W68" s="43">
        <v>62</v>
      </c>
      <c r="X68" s="41"/>
      <c r="Y68" s="41"/>
      <c r="Z68" s="43"/>
      <c r="AA68" s="41">
        <v>80</v>
      </c>
      <c r="AB68" s="49">
        <f t="shared" si="0"/>
        <v>487.66666666666669</v>
      </c>
      <c r="AC68" s="59"/>
      <c r="AD68" s="44">
        <f t="shared" si="1"/>
        <v>60.958333333333336</v>
      </c>
    </row>
    <row r="69" spans="1:31" x14ac:dyDescent="0.3">
      <c r="A69" s="7">
        <v>60</v>
      </c>
      <c r="B69" s="42" t="s">
        <v>134</v>
      </c>
      <c r="C69" s="43">
        <v>42</v>
      </c>
      <c r="D69" s="41">
        <v>71.333333333333329</v>
      </c>
      <c r="E69" s="40"/>
      <c r="F69" s="40"/>
      <c r="G69" s="41"/>
      <c r="H69" s="41"/>
      <c r="I69" s="40"/>
      <c r="J69" s="43">
        <v>75</v>
      </c>
      <c r="K69" s="40"/>
      <c r="L69" s="43">
        <v>48</v>
      </c>
      <c r="M69" s="40"/>
      <c r="N69" s="43">
        <v>62</v>
      </c>
      <c r="O69" s="40"/>
      <c r="P69" s="40"/>
      <c r="Q69" s="40"/>
      <c r="R69" s="41"/>
      <c r="S69" s="40"/>
      <c r="T69" s="40"/>
      <c r="U69" s="40"/>
      <c r="V69" s="40"/>
      <c r="W69" s="40"/>
      <c r="X69" s="40"/>
      <c r="Y69" s="43">
        <v>54</v>
      </c>
      <c r="Z69" s="40"/>
      <c r="AA69" s="43">
        <v>65</v>
      </c>
      <c r="AB69" s="49">
        <f t="shared" si="0"/>
        <v>417.33333333333331</v>
      </c>
      <c r="AC69" s="59"/>
      <c r="AD69" s="44">
        <f t="shared" si="1"/>
        <v>59.619047619047613</v>
      </c>
    </row>
    <row r="70" spans="1:31" x14ac:dyDescent="0.3">
      <c r="A70" s="7">
        <v>61</v>
      </c>
      <c r="B70" s="42" t="s">
        <v>35</v>
      </c>
      <c r="C70" s="43">
        <v>69</v>
      </c>
      <c r="D70" s="41">
        <v>65.333333333333329</v>
      </c>
      <c r="E70" s="43">
        <v>59</v>
      </c>
      <c r="F70" s="41"/>
      <c r="G70" s="41"/>
      <c r="H70" s="41"/>
      <c r="I70" s="40"/>
      <c r="J70" s="41"/>
      <c r="K70" s="40"/>
      <c r="L70" s="43">
        <v>52</v>
      </c>
      <c r="M70" s="43">
        <v>58</v>
      </c>
      <c r="N70" s="41"/>
      <c r="O70" s="43">
        <v>58</v>
      </c>
      <c r="P70" s="43">
        <v>65</v>
      </c>
      <c r="Q70" s="40"/>
      <c r="R70" s="41"/>
      <c r="S70" s="40"/>
      <c r="T70" s="40"/>
      <c r="U70" s="41"/>
      <c r="V70" s="40"/>
      <c r="W70" s="40"/>
      <c r="X70" s="40"/>
      <c r="Y70" s="41"/>
      <c r="Z70" s="43">
        <v>48</v>
      </c>
      <c r="AA70" s="43">
        <v>52</v>
      </c>
      <c r="AB70" s="49">
        <f t="shared" si="0"/>
        <v>526.33333333333326</v>
      </c>
      <c r="AC70" s="59"/>
      <c r="AD70" s="44">
        <f t="shared" si="1"/>
        <v>58.481481481481474</v>
      </c>
    </row>
    <row r="71" spans="1:31" x14ac:dyDescent="0.3">
      <c r="A71" s="7">
        <v>62</v>
      </c>
      <c r="B71" s="42" t="s">
        <v>148</v>
      </c>
      <c r="C71" s="43">
        <v>56</v>
      </c>
      <c r="D71" s="41">
        <v>83.666666666666671</v>
      </c>
      <c r="E71" s="41"/>
      <c r="F71" s="41"/>
      <c r="G71" s="40"/>
      <c r="H71" s="40"/>
      <c r="I71" s="43">
        <v>52</v>
      </c>
      <c r="J71" s="40"/>
      <c r="K71" s="43">
        <v>51</v>
      </c>
      <c r="L71" s="43">
        <v>58</v>
      </c>
      <c r="M71" s="41"/>
      <c r="N71" s="43">
        <v>52</v>
      </c>
      <c r="O71" s="40"/>
      <c r="P71" s="41"/>
      <c r="Q71" s="41"/>
      <c r="R71" s="40"/>
      <c r="S71" s="40"/>
      <c r="T71" s="40"/>
      <c r="U71" s="41"/>
      <c r="V71" s="40"/>
      <c r="W71" s="43">
        <v>59</v>
      </c>
      <c r="X71" s="41"/>
      <c r="Y71" s="40"/>
      <c r="Z71" s="43"/>
      <c r="AA71" s="40">
        <v>54</v>
      </c>
      <c r="AB71" s="49">
        <f t="shared" si="0"/>
        <v>465.66666666666669</v>
      </c>
      <c r="AC71" s="59"/>
      <c r="AD71" s="44">
        <f t="shared" si="1"/>
        <v>58.208333333333336</v>
      </c>
    </row>
    <row r="72" spans="1:31" x14ac:dyDescent="0.3">
      <c r="A72" s="7">
        <v>63</v>
      </c>
      <c r="B72" s="42" t="s">
        <v>150</v>
      </c>
      <c r="C72" s="43">
        <v>62</v>
      </c>
      <c r="D72" s="41">
        <v>69.333333333333329</v>
      </c>
      <c r="E72" s="40"/>
      <c r="F72" s="41"/>
      <c r="G72" s="41"/>
      <c r="H72" s="41"/>
      <c r="I72" s="43">
        <v>56</v>
      </c>
      <c r="J72" s="40"/>
      <c r="K72" s="43">
        <v>41</v>
      </c>
      <c r="L72" s="43">
        <v>44</v>
      </c>
      <c r="M72" s="41"/>
      <c r="N72" s="43">
        <v>59</v>
      </c>
      <c r="O72" s="40"/>
      <c r="P72" s="41"/>
      <c r="Q72" s="40"/>
      <c r="R72" s="41"/>
      <c r="S72" s="40"/>
      <c r="T72" s="41"/>
      <c r="U72" s="41"/>
      <c r="V72" s="40"/>
      <c r="W72" s="43">
        <v>71</v>
      </c>
      <c r="X72" s="40"/>
      <c r="Y72" s="40"/>
      <c r="Z72" s="43"/>
      <c r="AA72" s="41">
        <v>63</v>
      </c>
      <c r="AB72" s="49">
        <f t="shared" si="0"/>
        <v>465.33333333333331</v>
      </c>
      <c r="AC72" s="59"/>
      <c r="AD72" s="44">
        <f t="shared" si="1"/>
        <v>58.166666666666664</v>
      </c>
    </row>
    <row r="73" spans="1:31" x14ac:dyDescent="0.3">
      <c r="A73" s="7">
        <v>64</v>
      </c>
      <c r="B73" s="42" t="s">
        <v>66</v>
      </c>
      <c r="C73" s="43">
        <v>62</v>
      </c>
      <c r="D73" s="41">
        <v>86.333333333333329</v>
      </c>
      <c r="E73" s="41"/>
      <c r="F73" s="43">
        <v>55</v>
      </c>
      <c r="G73" s="40"/>
      <c r="H73" s="43">
        <v>62</v>
      </c>
      <c r="I73" s="40"/>
      <c r="J73" s="40"/>
      <c r="K73" s="40"/>
      <c r="L73" s="43">
        <v>54</v>
      </c>
      <c r="M73" s="43">
        <v>44</v>
      </c>
      <c r="N73" s="40"/>
      <c r="O73" s="41"/>
      <c r="P73" s="41"/>
      <c r="Q73" s="41"/>
      <c r="R73" s="40"/>
      <c r="S73" s="40"/>
      <c r="T73" s="40"/>
      <c r="U73" s="43">
        <v>41</v>
      </c>
      <c r="V73" s="40"/>
      <c r="W73" s="40"/>
      <c r="X73" s="40"/>
      <c r="Y73" s="40"/>
      <c r="Z73" s="41"/>
      <c r="AA73" s="43">
        <v>60</v>
      </c>
      <c r="AB73" s="49">
        <f t="shared" si="0"/>
        <v>464.33333333333331</v>
      </c>
      <c r="AC73" s="59"/>
      <c r="AD73" s="44">
        <f t="shared" si="1"/>
        <v>58.041666666666664</v>
      </c>
    </row>
    <row r="74" spans="1:31" x14ac:dyDescent="0.3">
      <c r="A74" s="7">
        <v>65</v>
      </c>
      <c r="B74" s="42" t="s">
        <v>156</v>
      </c>
      <c r="C74" s="43">
        <v>55</v>
      </c>
      <c r="D74" s="41">
        <v>69</v>
      </c>
      <c r="E74" s="41"/>
      <c r="F74" s="41"/>
      <c r="G74" s="41"/>
      <c r="H74" s="41"/>
      <c r="I74" s="43">
        <v>62</v>
      </c>
      <c r="J74" s="41"/>
      <c r="K74" s="43">
        <v>65</v>
      </c>
      <c r="L74" s="43">
        <v>35</v>
      </c>
      <c r="M74" s="41"/>
      <c r="N74" s="43">
        <v>54</v>
      </c>
      <c r="O74" s="41"/>
      <c r="P74" s="41"/>
      <c r="Q74" s="41"/>
      <c r="R74" s="41"/>
      <c r="S74" s="41"/>
      <c r="T74" s="41"/>
      <c r="U74" s="41"/>
      <c r="V74" s="41"/>
      <c r="W74" s="43">
        <v>65</v>
      </c>
      <c r="X74" s="41"/>
      <c r="Y74" s="41"/>
      <c r="Z74" s="43"/>
      <c r="AA74" s="41">
        <v>55</v>
      </c>
      <c r="AB74" s="49">
        <f t="shared" ref="AB74:AB78" si="2">SUM(C74:AA74)</f>
        <v>460</v>
      </c>
      <c r="AC74" s="59"/>
      <c r="AD74" s="44">
        <f t="shared" ref="AD74:AD78" si="3">AVERAGE(C74:AA74)</f>
        <v>57.5</v>
      </c>
    </row>
    <row r="75" spans="1:31" x14ac:dyDescent="0.3">
      <c r="A75" s="7">
        <v>66</v>
      </c>
      <c r="B75" s="42" t="s">
        <v>155</v>
      </c>
      <c r="C75" s="43">
        <v>39</v>
      </c>
      <c r="D75" s="41">
        <v>67.666666666666671</v>
      </c>
      <c r="E75" s="41"/>
      <c r="F75" s="41"/>
      <c r="G75" s="41"/>
      <c r="H75" s="41"/>
      <c r="I75" s="43">
        <v>66</v>
      </c>
      <c r="J75" s="41"/>
      <c r="K75" s="43">
        <v>62</v>
      </c>
      <c r="L75" s="43">
        <v>51</v>
      </c>
      <c r="M75" s="41"/>
      <c r="N75" s="43">
        <v>44</v>
      </c>
      <c r="O75" s="41"/>
      <c r="P75" s="41"/>
      <c r="Q75" s="41"/>
      <c r="R75" s="41"/>
      <c r="S75" s="41"/>
      <c r="T75" s="41"/>
      <c r="U75" s="41"/>
      <c r="V75" s="41"/>
      <c r="W75" s="43">
        <v>62</v>
      </c>
      <c r="X75" s="41"/>
      <c r="Y75" s="41"/>
      <c r="Z75" s="43"/>
      <c r="AA75" s="41">
        <v>66</v>
      </c>
      <c r="AB75" s="49">
        <f t="shared" si="2"/>
        <v>457.66666666666669</v>
      </c>
      <c r="AC75" s="59"/>
      <c r="AD75" s="44">
        <f t="shared" si="3"/>
        <v>57.208333333333336</v>
      </c>
    </row>
    <row r="76" spans="1:31" x14ac:dyDescent="0.3">
      <c r="A76" s="7">
        <v>67</v>
      </c>
      <c r="B76" s="42" t="s">
        <v>106</v>
      </c>
      <c r="C76" s="43">
        <v>42</v>
      </c>
      <c r="D76" s="41">
        <v>77</v>
      </c>
      <c r="E76" s="41"/>
      <c r="F76" s="41"/>
      <c r="G76" s="43">
        <v>55</v>
      </c>
      <c r="H76" s="43">
        <v>51</v>
      </c>
      <c r="I76" s="41"/>
      <c r="J76" s="41"/>
      <c r="K76" s="41"/>
      <c r="L76" s="43">
        <v>48</v>
      </c>
      <c r="M76" s="41"/>
      <c r="N76" s="43">
        <v>42</v>
      </c>
      <c r="O76" s="41"/>
      <c r="P76" s="41"/>
      <c r="Q76" s="41"/>
      <c r="R76" s="43">
        <v>71</v>
      </c>
      <c r="S76" s="41"/>
      <c r="T76" s="41"/>
      <c r="U76" s="41"/>
      <c r="V76" s="41"/>
      <c r="W76" s="41"/>
      <c r="X76" s="41"/>
      <c r="Y76" s="41"/>
      <c r="Z76" s="41"/>
      <c r="AA76" s="43">
        <v>62</v>
      </c>
      <c r="AB76" s="49">
        <f t="shared" si="2"/>
        <v>448</v>
      </c>
      <c r="AC76" s="59"/>
      <c r="AD76" s="44">
        <f t="shared" si="3"/>
        <v>56</v>
      </c>
    </row>
    <row r="77" spans="1:31" x14ac:dyDescent="0.3">
      <c r="A77" s="7">
        <v>68</v>
      </c>
      <c r="B77" s="42" t="s">
        <v>120</v>
      </c>
      <c r="C77" s="43">
        <v>52</v>
      </c>
      <c r="D77" s="41">
        <v>58.666666666666664</v>
      </c>
      <c r="E77" s="40"/>
      <c r="F77" s="41"/>
      <c r="G77" s="41"/>
      <c r="H77" s="43">
        <v>49</v>
      </c>
      <c r="I77" s="40"/>
      <c r="J77" s="40"/>
      <c r="K77" s="41"/>
      <c r="L77" s="43">
        <v>41</v>
      </c>
      <c r="M77" s="43">
        <v>55</v>
      </c>
      <c r="N77" s="41"/>
      <c r="O77" s="40"/>
      <c r="P77" s="41"/>
      <c r="Q77" s="40"/>
      <c r="R77" s="41"/>
      <c r="S77" s="43">
        <v>72</v>
      </c>
      <c r="T77" s="43">
        <v>65</v>
      </c>
      <c r="U77" s="41"/>
      <c r="V77" s="40"/>
      <c r="W77" s="40"/>
      <c r="X77" s="40"/>
      <c r="Y77" s="40"/>
      <c r="Z77" s="40"/>
      <c r="AA77" s="43">
        <v>55</v>
      </c>
      <c r="AB77" s="49">
        <f t="shared" si="2"/>
        <v>447.66666666666663</v>
      </c>
      <c r="AC77" s="59"/>
      <c r="AD77" s="44">
        <f t="shared" si="3"/>
        <v>55.958333333333329</v>
      </c>
    </row>
    <row r="78" spans="1:31" x14ac:dyDescent="0.3">
      <c r="A78" s="7">
        <v>69</v>
      </c>
      <c r="B78" s="42" t="s">
        <v>122</v>
      </c>
      <c r="C78" s="43">
        <v>40</v>
      </c>
      <c r="D78" s="41">
        <v>73.666666666666671</v>
      </c>
      <c r="E78" s="40"/>
      <c r="F78" s="40"/>
      <c r="G78" s="41"/>
      <c r="H78" s="43">
        <v>44</v>
      </c>
      <c r="I78" s="41"/>
      <c r="J78" s="40"/>
      <c r="K78" s="41"/>
      <c r="L78" s="43">
        <v>41</v>
      </c>
      <c r="M78" s="43">
        <v>44</v>
      </c>
      <c r="N78" s="41"/>
      <c r="O78" s="40"/>
      <c r="P78" s="40"/>
      <c r="Q78" s="40"/>
      <c r="R78" s="41"/>
      <c r="S78" s="43">
        <v>76</v>
      </c>
      <c r="T78" s="43">
        <v>72</v>
      </c>
      <c r="U78" s="40"/>
      <c r="V78" s="40"/>
      <c r="W78" s="41"/>
      <c r="X78" s="40"/>
      <c r="Y78" s="40"/>
      <c r="Z78" s="40"/>
      <c r="AA78" s="43">
        <v>56</v>
      </c>
      <c r="AB78" s="49">
        <f t="shared" si="2"/>
        <v>446.66666666666669</v>
      </c>
      <c r="AC78" s="59"/>
      <c r="AD78" s="44">
        <f t="shared" si="3"/>
        <v>55.833333333333336</v>
      </c>
    </row>
    <row r="79" spans="1:31" ht="123.6" x14ac:dyDescent="0.3">
      <c r="A79" s="20" t="s">
        <v>171</v>
      </c>
      <c r="B79" s="34" t="s">
        <v>172</v>
      </c>
      <c r="C79" s="39" t="s">
        <v>3</v>
      </c>
      <c r="D79" s="39" t="s">
        <v>19</v>
      </c>
      <c r="E79" s="39" t="s">
        <v>163</v>
      </c>
      <c r="F79" s="39" t="s">
        <v>20</v>
      </c>
      <c r="G79" s="39" t="s">
        <v>174</v>
      </c>
      <c r="H79" s="39" t="s">
        <v>168</v>
      </c>
      <c r="I79" s="39" t="s">
        <v>159</v>
      </c>
      <c r="J79" s="39" t="s">
        <v>140</v>
      </c>
      <c r="K79" s="39" t="s">
        <v>160</v>
      </c>
      <c r="L79" s="39" t="s">
        <v>21</v>
      </c>
      <c r="M79" s="39" t="s">
        <v>22</v>
      </c>
      <c r="N79" s="39" t="s">
        <v>169</v>
      </c>
      <c r="O79" s="39" t="s">
        <v>46</v>
      </c>
      <c r="P79" s="39" t="s">
        <v>23</v>
      </c>
      <c r="Q79" s="39" t="s">
        <v>24</v>
      </c>
      <c r="R79" s="39" t="s">
        <v>109</v>
      </c>
      <c r="S79" s="39" t="s">
        <v>123</v>
      </c>
      <c r="T79" s="39" t="s">
        <v>124</v>
      </c>
      <c r="U79" s="39" t="s">
        <v>173</v>
      </c>
      <c r="V79" s="39" t="s">
        <v>131</v>
      </c>
      <c r="W79" s="39" t="s">
        <v>179</v>
      </c>
      <c r="X79" s="39" t="s">
        <v>164</v>
      </c>
      <c r="Y79" s="39" t="s">
        <v>141</v>
      </c>
      <c r="Z79" s="39" t="s">
        <v>165</v>
      </c>
      <c r="AA79" s="39" t="s">
        <v>47</v>
      </c>
      <c r="AB79" s="31" t="s">
        <v>166</v>
      </c>
      <c r="AC79" s="58"/>
      <c r="AD79" s="29" t="s">
        <v>167</v>
      </c>
      <c r="AE79" s="29" t="s">
        <v>189</v>
      </c>
    </row>
    <row r="81" spans="1:30" x14ac:dyDescent="0.3">
      <c r="A81" s="7">
        <v>70</v>
      </c>
      <c r="B81" s="42" t="s">
        <v>149</v>
      </c>
      <c r="C81" s="43">
        <v>45</v>
      </c>
      <c r="D81" s="41">
        <v>68</v>
      </c>
      <c r="E81" s="41"/>
      <c r="F81" s="40"/>
      <c r="G81" s="41"/>
      <c r="H81" s="41"/>
      <c r="I81" s="43">
        <v>58</v>
      </c>
      <c r="J81" s="40"/>
      <c r="K81" s="43">
        <v>51</v>
      </c>
      <c r="L81" s="43">
        <v>40</v>
      </c>
      <c r="M81" s="41"/>
      <c r="N81" s="43">
        <v>52</v>
      </c>
      <c r="O81" s="41"/>
      <c r="P81" s="41"/>
      <c r="Q81" s="40"/>
      <c r="R81" s="41"/>
      <c r="S81" s="40"/>
      <c r="T81" s="41"/>
      <c r="U81" s="41"/>
      <c r="V81" s="40"/>
      <c r="W81" s="43">
        <v>70</v>
      </c>
      <c r="X81" s="40"/>
      <c r="Y81" s="40"/>
      <c r="Z81" s="43"/>
      <c r="AA81" s="41">
        <v>62</v>
      </c>
      <c r="AB81" s="49">
        <f t="shared" ref="AB81:AB117" si="4">SUM(C81:AA81)</f>
        <v>446</v>
      </c>
      <c r="AC81" s="59"/>
      <c r="AD81" s="44">
        <f t="shared" ref="AD81:AD107" si="5">AVERAGE(C81:AA81)</f>
        <v>55.75</v>
      </c>
    </row>
    <row r="82" spans="1:30" x14ac:dyDescent="0.3">
      <c r="A82" s="7">
        <v>71</v>
      </c>
      <c r="B82" s="42" t="s">
        <v>85</v>
      </c>
      <c r="C82" s="43">
        <v>42</v>
      </c>
      <c r="D82" s="41">
        <v>72.333333333333329</v>
      </c>
      <c r="E82" s="40"/>
      <c r="F82" s="41"/>
      <c r="G82" s="43">
        <v>51</v>
      </c>
      <c r="H82" s="43">
        <v>48</v>
      </c>
      <c r="I82" s="40"/>
      <c r="J82" s="40"/>
      <c r="K82" s="41"/>
      <c r="L82" s="43">
        <v>50</v>
      </c>
      <c r="M82" s="41"/>
      <c r="N82" s="43">
        <v>41</v>
      </c>
      <c r="O82" s="40"/>
      <c r="P82" s="41"/>
      <c r="Q82" s="40"/>
      <c r="R82" s="43">
        <v>73</v>
      </c>
      <c r="S82" s="40"/>
      <c r="T82" s="41"/>
      <c r="U82" s="41"/>
      <c r="V82" s="40"/>
      <c r="W82" s="40"/>
      <c r="X82" s="40"/>
      <c r="Y82" s="40"/>
      <c r="Z82" s="40"/>
      <c r="AA82" s="43">
        <v>66</v>
      </c>
      <c r="AB82" s="49">
        <f t="shared" si="4"/>
        <v>443.33333333333331</v>
      </c>
      <c r="AC82" s="59"/>
      <c r="AD82" s="44">
        <f t="shared" si="5"/>
        <v>55.416666666666664</v>
      </c>
    </row>
    <row r="83" spans="1:30" x14ac:dyDescent="0.3">
      <c r="A83" s="7">
        <v>72</v>
      </c>
      <c r="B83" s="42" t="s">
        <v>139</v>
      </c>
      <c r="C83" s="43">
        <v>40</v>
      </c>
      <c r="D83" s="41">
        <v>69</v>
      </c>
      <c r="E83" s="41"/>
      <c r="F83" s="41"/>
      <c r="G83" s="40"/>
      <c r="H83" s="40"/>
      <c r="I83" s="40"/>
      <c r="J83" s="43">
        <v>62</v>
      </c>
      <c r="K83" s="40"/>
      <c r="L83" s="43">
        <v>44</v>
      </c>
      <c r="M83" s="41"/>
      <c r="N83" s="43">
        <v>54</v>
      </c>
      <c r="O83" s="41"/>
      <c r="P83" s="41"/>
      <c r="Q83" s="41"/>
      <c r="R83" s="40"/>
      <c r="S83" s="40"/>
      <c r="T83" s="40"/>
      <c r="U83" s="41"/>
      <c r="V83" s="40"/>
      <c r="W83" s="40"/>
      <c r="X83" s="41"/>
      <c r="Y83" s="43">
        <v>52</v>
      </c>
      <c r="Z83" s="41"/>
      <c r="AA83" s="43">
        <v>62</v>
      </c>
      <c r="AB83" s="49">
        <f t="shared" si="4"/>
        <v>383</v>
      </c>
      <c r="AC83" s="59"/>
      <c r="AD83" s="44">
        <f t="shared" si="5"/>
        <v>54.714285714285715</v>
      </c>
    </row>
    <row r="84" spans="1:30" x14ac:dyDescent="0.3">
      <c r="A84" s="7">
        <v>73</v>
      </c>
      <c r="B84" s="42" t="s">
        <v>111</v>
      </c>
      <c r="C84" s="43">
        <v>45</v>
      </c>
      <c r="D84" s="41">
        <v>65</v>
      </c>
      <c r="E84" s="41"/>
      <c r="F84" s="41"/>
      <c r="G84" s="40"/>
      <c r="H84" s="43">
        <v>41</v>
      </c>
      <c r="I84" s="40"/>
      <c r="J84" s="40"/>
      <c r="K84" s="40"/>
      <c r="L84" s="43">
        <v>52</v>
      </c>
      <c r="M84" s="43">
        <v>62</v>
      </c>
      <c r="N84" s="48"/>
      <c r="O84" s="41"/>
      <c r="P84" s="41"/>
      <c r="Q84" s="40"/>
      <c r="R84" s="48"/>
      <c r="S84" s="43">
        <v>52</v>
      </c>
      <c r="T84" s="43">
        <v>55</v>
      </c>
      <c r="U84" s="41"/>
      <c r="V84" s="40"/>
      <c r="W84" s="40"/>
      <c r="X84" s="41"/>
      <c r="Y84" s="40"/>
      <c r="Z84" s="41"/>
      <c r="AA84" s="43">
        <v>65</v>
      </c>
      <c r="AB84" s="49">
        <f t="shared" si="4"/>
        <v>437</v>
      </c>
      <c r="AC84" s="59"/>
      <c r="AD84" s="44">
        <f t="shared" si="5"/>
        <v>54.625</v>
      </c>
    </row>
    <row r="85" spans="1:30" x14ac:dyDescent="0.3">
      <c r="A85" s="7">
        <v>74</v>
      </c>
      <c r="B85" s="42" t="s">
        <v>118</v>
      </c>
      <c r="C85" s="43">
        <v>39</v>
      </c>
      <c r="D85" s="41">
        <v>77.666666666666671</v>
      </c>
      <c r="E85" s="40"/>
      <c r="F85" s="41"/>
      <c r="G85" s="41"/>
      <c r="H85" s="43">
        <v>47</v>
      </c>
      <c r="I85" s="41"/>
      <c r="J85" s="40"/>
      <c r="K85" s="41"/>
      <c r="L85" s="43">
        <v>47</v>
      </c>
      <c r="M85" s="43">
        <v>42</v>
      </c>
      <c r="N85" s="41"/>
      <c r="O85" s="40"/>
      <c r="P85" s="40"/>
      <c r="Q85" s="40"/>
      <c r="R85" s="41"/>
      <c r="S85" s="43">
        <v>52</v>
      </c>
      <c r="T85" s="43">
        <v>65</v>
      </c>
      <c r="U85" s="41"/>
      <c r="V85" s="40"/>
      <c r="W85" s="41"/>
      <c r="X85" s="40"/>
      <c r="Y85" s="40"/>
      <c r="Z85" s="40"/>
      <c r="AA85" s="43">
        <v>63</v>
      </c>
      <c r="AB85" s="49">
        <f t="shared" si="4"/>
        <v>432.66666666666669</v>
      </c>
      <c r="AC85" s="59"/>
      <c r="AD85" s="44">
        <f t="shared" si="5"/>
        <v>54.083333333333336</v>
      </c>
    </row>
    <row r="86" spans="1:30" x14ac:dyDescent="0.3">
      <c r="A86" s="7">
        <v>75</v>
      </c>
      <c r="B86" s="42" t="s">
        <v>76</v>
      </c>
      <c r="C86" s="43">
        <v>50</v>
      </c>
      <c r="D86" s="41">
        <v>74.333333333333329</v>
      </c>
      <c r="E86" s="40"/>
      <c r="F86" s="43">
        <v>38</v>
      </c>
      <c r="G86" s="41"/>
      <c r="H86" s="43">
        <v>45</v>
      </c>
      <c r="I86" s="41"/>
      <c r="J86" s="40"/>
      <c r="K86" s="41"/>
      <c r="L86" s="43">
        <v>55</v>
      </c>
      <c r="M86" s="43">
        <v>51</v>
      </c>
      <c r="N86" s="41"/>
      <c r="O86" s="40"/>
      <c r="P86" s="40"/>
      <c r="Q86" s="40"/>
      <c r="R86" s="41"/>
      <c r="S86" s="40"/>
      <c r="T86" s="40"/>
      <c r="U86" s="43">
        <v>60</v>
      </c>
      <c r="V86" s="40"/>
      <c r="W86" s="41"/>
      <c r="X86" s="40"/>
      <c r="Y86" s="40"/>
      <c r="Z86" s="40"/>
      <c r="AA86" s="43">
        <v>59</v>
      </c>
      <c r="AB86" s="49">
        <f t="shared" si="4"/>
        <v>432.33333333333331</v>
      </c>
      <c r="AC86" s="59"/>
      <c r="AD86" s="44">
        <f t="shared" si="5"/>
        <v>54.041666666666664</v>
      </c>
    </row>
    <row r="87" spans="1:30" x14ac:dyDescent="0.3">
      <c r="A87" s="7">
        <v>76</v>
      </c>
      <c r="B87" s="42" t="s">
        <v>116</v>
      </c>
      <c r="C87" s="43">
        <v>40</v>
      </c>
      <c r="D87" s="41">
        <v>72.333333333333329</v>
      </c>
      <c r="E87" s="40"/>
      <c r="F87" s="40"/>
      <c r="G87" s="41"/>
      <c r="H87" s="43">
        <v>41</v>
      </c>
      <c r="I87" s="40"/>
      <c r="J87" s="40"/>
      <c r="K87" s="40"/>
      <c r="L87" s="43">
        <v>39</v>
      </c>
      <c r="M87" s="43">
        <v>45</v>
      </c>
      <c r="N87" s="41"/>
      <c r="O87" s="40"/>
      <c r="P87" s="40"/>
      <c r="Q87" s="40"/>
      <c r="R87" s="41"/>
      <c r="S87" s="43">
        <v>84</v>
      </c>
      <c r="T87" s="43">
        <v>58</v>
      </c>
      <c r="U87" s="40"/>
      <c r="V87" s="40"/>
      <c r="W87" s="40"/>
      <c r="X87" s="40"/>
      <c r="Y87" s="40"/>
      <c r="Z87" s="40"/>
      <c r="AA87" s="43">
        <v>52</v>
      </c>
      <c r="AB87" s="49">
        <f t="shared" si="4"/>
        <v>431.33333333333331</v>
      </c>
      <c r="AC87" s="59"/>
      <c r="AD87" s="44">
        <f t="shared" si="5"/>
        <v>53.916666666666664</v>
      </c>
    </row>
    <row r="88" spans="1:30" x14ac:dyDescent="0.3">
      <c r="A88" s="7">
        <v>77</v>
      </c>
      <c r="B88" s="42" t="s">
        <v>98</v>
      </c>
      <c r="C88" s="43">
        <v>45</v>
      </c>
      <c r="D88" s="41">
        <v>64.666666666666671</v>
      </c>
      <c r="E88" s="40"/>
      <c r="F88" s="40"/>
      <c r="G88" s="43">
        <v>68</v>
      </c>
      <c r="H88" s="43">
        <v>47</v>
      </c>
      <c r="I88" s="41"/>
      <c r="J88" s="41"/>
      <c r="K88" s="41"/>
      <c r="L88" s="43">
        <v>34</v>
      </c>
      <c r="M88" s="41"/>
      <c r="N88" s="43">
        <v>55</v>
      </c>
      <c r="O88" s="40"/>
      <c r="P88" s="40"/>
      <c r="Q88" s="40"/>
      <c r="R88" s="43">
        <v>51</v>
      </c>
      <c r="S88" s="41"/>
      <c r="T88" s="41"/>
      <c r="U88" s="40"/>
      <c r="V88" s="40"/>
      <c r="W88" s="41"/>
      <c r="X88" s="40"/>
      <c r="Y88" s="41"/>
      <c r="Z88" s="40"/>
      <c r="AA88" s="43">
        <v>58</v>
      </c>
      <c r="AB88" s="49">
        <f t="shared" si="4"/>
        <v>422.66666666666669</v>
      </c>
      <c r="AC88" s="59"/>
      <c r="AD88" s="44">
        <f t="shared" si="5"/>
        <v>52.833333333333336</v>
      </c>
    </row>
    <row r="89" spans="1:30" x14ac:dyDescent="0.3">
      <c r="A89" s="7">
        <v>78</v>
      </c>
      <c r="B89" s="42" t="s">
        <v>72</v>
      </c>
      <c r="C89" s="43">
        <v>45</v>
      </c>
      <c r="D89" s="41">
        <v>74.333333333333329</v>
      </c>
      <c r="E89" s="41"/>
      <c r="F89" s="43">
        <v>59</v>
      </c>
      <c r="G89" s="41"/>
      <c r="H89" s="43">
        <v>42</v>
      </c>
      <c r="I89" s="40"/>
      <c r="J89" s="40"/>
      <c r="K89" s="41"/>
      <c r="L89" s="43">
        <v>45</v>
      </c>
      <c r="M89" s="43">
        <v>43</v>
      </c>
      <c r="N89" s="41"/>
      <c r="O89" s="41"/>
      <c r="P89" s="41"/>
      <c r="Q89" s="41"/>
      <c r="R89" s="41"/>
      <c r="S89" s="40"/>
      <c r="T89" s="41"/>
      <c r="U89" s="43">
        <v>42</v>
      </c>
      <c r="V89" s="40"/>
      <c r="W89" s="40"/>
      <c r="X89" s="40"/>
      <c r="Y89" s="40"/>
      <c r="Z89" s="41"/>
      <c r="AA89" s="43">
        <v>72</v>
      </c>
      <c r="AB89" s="49">
        <f t="shared" si="4"/>
        <v>422.33333333333331</v>
      </c>
      <c r="AC89" s="59"/>
      <c r="AD89" s="44">
        <f t="shared" si="5"/>
        <v>52.791666666666664</v>
      </c>
    </row>
    <row r="90" spans="1:30" x14ac:dyDescent="0.3">
      <c r="A90" s="7">
        <v>79</v>
      </c>
      <c r="B90" s="42" t="s">
        <v>78</v>
      </c>
      <c r="C90" s="43">
        <v>30</v>
      </c>
      <c r="D90" s="41">
        <v>75.666666666666671</v>
      </c>
      <c r="E90" s="41"/>
      <c r="F90" s="43">
        <v>45</v>
      </c>
      <c r="G90" s="41"/>
      <c r="H90" s="43">
        <v>55</v>
      </c>
      <c r="I90" s="40"/>
      <c r="J90" s="40"/>
      <c r="K90" s="41"/>
      <c r="L90" s="43">
        <v>52</v>
      </c>
      <c r="M90" s="43">
        <v>55</v>
      </c>
      <c r="N90" s="41"/>
      <c r="O90" s="41"/>
      <c r="P90" s="41"/>
      <c r="Q90" s="40"/>
      <c r="R90" s="41"/>
      <c r="S90" s="40"/>
      <c r="T90" s="41"/>
      <c r="U90" s="43">
        <v>44</v>
      </c>
      <c r="V90" s="40"/>
      <c r="W90" s="40"/>
      <c r="X90" s="41"/>
      <c r="Y90" s="40"/>
      <c r="Z90" s="41"/>
      <c r="AA90" s="43">
        <v>65</v>
      </c>
      <c r="AB90" s="49">
        <f t="shared" si="4"/>
        <v>421.66666666666669</v>
      </c>
      <c r="AC90" s="59"/>
      <c r="AD90" s="44">
        <f t="shared" si="5"/>
        <v>52.708333333333336</v>
      </c>
    </row>
    <row r="91" spans="1:30" x14ac:dyDescent="0.3">
      <c r="A91" s="7">
        <v>80</v>
      </c>
      <c r="B91" s="42" t="s">
        <v>56</v>
      </c>
      <c r="C91" s="43">
        <v>58</v>
      </c>
      <c r="D91" s="41">
        <v>76</v>
      </c>
      <c r="E91" s="43">
        <v>41</v>
      </c>
      <c r="F91" s="41"/>
      <c r="G91" s="40"/>
      <c r="H91" s="41"/>
      <c r="I91" s="40"/>
      <c r="J91" s="40"/>
      <c r="K91" s="40"/>
      <c r="L91" s="43">
        <v>45</v>
      </c>
      <c r="M91" s="43">
        <v>55</v>
      </c>
      <c r="N91" s="41"/>
      <c r="O91" s="41"/>
      <c r="P91" s="41"/>
      <c r="Q91" s="41"/>
      <c r="R91" s="41"/>
      <c r="S91" s="40"/>
      <c r="T91" s="40"/>
      <c r="U91" s="43">
        <v>47</v>
      </c>
      <c r="V91" s="40"/>
      <c r="W91" s="40"/>
      <c r="X91" s="43">
        <v>50</v>
      </c>
      <c r="Y91" s="40"/>
      <c r="Z91" s="43">
        <v>48</v>
      </c>
      <c r="AA91" s="41"/>
      <c r="AB91" s="49">
        <f t="shared" si="4"/>
        <v>420</v>
      </c>
      <c r="AC91" s="59"/>
      <c r="AD91" s="44">
        <f t="shared" si="5"/>
        <v>52.5</v>
      </c>
    </row>
    <row r="92" spans="1:30" x14ac:dyDescent="0.3">
      <c r="A92" s="7">
        <v>81</v>
      </c>
      <c r="B92" s="42" t="s">
        <v>102</v>
      </c>
      <c r="C92" s="43">
        <v>22</v>
      </c>
      <c r="D92" s="41">
        <v>65.333333333333329</v>
      </c>
      <c r="E92" s="41"/>
      <c r="F92" s="41"/>
      <c r="G92" s="43">
        <v>72</v>
      </c>
      <c r="H92" s="43">
        <v>44</v>
      </c>
      <c r="I92" s="41"/>
      <c r="J92" s="41"/>
      <c r="K92" s="41"/>
      <c r="L92" s="43">
        <v>38</v>
      </c>
      <c r="M92" s="41"/>
      <c r="N92" s="43">
        <v>54</v>
      </c>
      <c r="O92" s="41"/>
      <c r="P92" s="41"/>
      <c r="Q92" s="41"/>
      <c r="R92" s="43">
        <v>62</v>
      </c>
      <c r="S92" s="41"/>
      <c r="T92" s="41"/>
      <c r="U92" s="41"/>
      <c r="V92" s="41"/>
      <c r="W92" s="41"/>
      <c r="X92" s="41"/>
      <c r="Y92" s="41"/>
      <c r="Z92" s="41"/>
      <c r="AA92" s="43">
        <v>62</v>
      </c>
      <c r="AB92" s="49">
        <f t="shared" si="4"/>
        <v>419.33333333333331</v>
      </c>
      <c r="AC92" s="59"/>
      <c r="AD92" s="44">
        <f t="shared" si="5"/>
        <v>52.416666666666664</v>
      </c>
    </row>
    <row r="93" spans="1:30" x14ac:dyDescent="0.3">
      <c r="A93" s="7">
        <v>82</v>
      </c>
      <c r="B93" s="42" t="s">
        <v>121</v>
      </c>
      <c r="C93" s="43">
        <v>42</v>
      </c>
      <c r="D93" s="41">
        <v>65</v>
      </c>
      <c r="E93" s="41"/>
      <c r="F93" s="41"/>
      <c r="G93" s="40"/>
      <c r="H93" s="43">
        <v>47</v>
      </c>
      <c r="I93" s="40"/>
      <c r="J93" s="40"/>
      <c r="K93" s="40"/>
      <c r="L93" s="43">
        <v>40</v>
      </c>
      <c r="M93" s="43">
        <v>47</v>
      </c>
      <c r="N93" s="40"/>
      <c r="O93" s="41"/>
      <c r="P93" s="41"/>
      <c r="Q93" s="40"/>
      <c r="R93" s="40"/>
      <c r="S93" s="43">
        <v>48</v>
      </c>
      <c r="T93" s="43">
        <v>80</v>
      </c>
      <c r="U93" s="41"/>
      <c r="V93" s="40"/>
      <c r="W93" s="40"/>
      <c r="X93" s="40"/>
      <c r="Y93" s="40"/>
      <c r="Z93" s="41"/>
      <c r="AA93" s="43">
        <v>48</v>
      </c>
      <c r="AB93" s="49">
        <f t="shared" si="4"/>
        <v>417</v>
      </c>
      <c r="AC93" s="59"/>
      <c r="AD93" s="44">
        <f t="shared" si="5"/>
        <v>52.125</v>
      </c>
    </row>
    <row r="94" spans="1:30" x14ac:dyDescent="0.3">
      <c r="A94" s="7">
        <v>83</v>
      </c>
      <c r="B94" s="42" t="s">
        <v>59</v>
      </c>
      <c r="C94" s="43">
        <v>55</v>
      </c>
      <c r="D94" s="41">
        <v>80.666666666666671</v>
      </c>
      <c r="E94" s="43">
        <v>44</v>
      </c>
      <c r="F94" s="41"/>
      <c r="G94" s="40"/>
      <c r="H94" s="41"/>
      <c r="I94" s="40"/>
      <c r="J94" s="40"/>
      <c r="K94" s="40"/>
      <c r="L94" s="43">
        <v>58</v>
      </c>
      <c r="M94" s="43">
        <v>39</v>
      </c>
      <c r="N94" s="40"/>
      <c r="O94" s="41"/>
      <c r="P94" s="41"/>
      <c r="Q94" s="40"/>
      <c r="R94" s="40"/>
      <c r="S94" s="41"/>
      <c r="T94" s="41"/>
      <c r="U94" s="43">
        <v>41</v>
      </c>
      <c r="V94" s="40"/>
      <c r="W94" s="40"/>
      <c r="X94" s="43">
        <v>54</v>
      </c>
      <c r="Y94" s="40"/>
      <c r="Z94" s="43">
        <v>45</v>
      </c>
      <c r="AA94" s="41"/>
      <c r="AB94" s="49">
        <f t="shared" si="4"/>
        <v>416.66666666666669</v>
      </c>
      <c r="AC94" s="59"/>
      <c r="AD94" s="44">
        <f t="shared" si="5"/>
        <v>52.083333333333336</v>
      </c>
    </row>
    <row r="95" spans="1:30" x14ac:dyDescent="0.3">
      <c r="A95" s="7">
        <v>84</v>
      </c>
      <c r="B95" s="42" t="s">
        <v>105</v>
      </c>
      <c r="C95" s="43">
        <v>39</v>
      </c>
      <c r="D95" s="41">
        <v>68.666666666666671</v>
      </c>
      <c r="E95" s="40"/>
      <c r="F95" s="41"/>
      <c r="G95" s="43">
        <v>47</v>
      </c>
      <c r="H95" s="43">
        <v>38</v>
      </c>
      <c r="I95" s="41"/>
      <c r="J95" s="40"/>
      <c r="K95" s="41"/>
      <c r="L95" s="43">
        <v>39</v>
      </c>
      <c r="M95" s="41"/>
      <c r="N95" s="43">
        <v>45</v>
      </c>
      <c r="O95" s="41"/>
      <c r="P95" s="41"/>
      <c r="Q95" s="41"/>
      <c r="R95" s="43">
        <v>81</v>
      </c>
      <c r="S95" s="41"/>
      <c r="T95" s="41"/>
      <c r="U95" s="41"/>
      <c r="V95" s="40"/>
      <c r="W95" s="41"/>
      <c r="X95" s="40"/>
      <c r="Y95" s="40"/>
      <c r="Z95" s="40"/>
      <c r="AA95" s="43">
        <v>58</v>
      </c>
      <c r="AB95" s="49">
        <f t="shared" si="4"/>
        <v>415.66666666666669</v>
      </c>
      <c r="AC95" s="59"/>
      <c r="AD95" s="44">
        <f t="shared" si="5"/>
        <v>51.958333333333336</v>
      </c>
    </row>
    <row r="96" spans="1:30" x14ac:dyDescent="0.3">
      <c r="A96" s="7">
        <v>85</v>
      </c>
      <c r="B96" s="42" t="s">
        <v>144</v>
      </c>
      <c r="C96" s="43">
        <v>45</v>
      </c>
      <c r="D96" s="41">
        <v>64.333333333333329</v>
      </c>
      <c r="E96" s="40"/>
      <c r="F96" s="40"/>
      <c r="G96" s="41"/>
      <c r="H96" s="41"/>
      <c r="I96" s="43">
        <v>56</v>
      </c>
      <c r="J96" s="41"/>
      <c r="K96" s="43">
        <v>65</v>
      </c>
      <c r="L96" s="43">
        <v>33</v>
      </c>
      <c r="M96" s="41"/>
      <c r="N96" s="43">
        <v>48</v>
      </c>
      <c r="O96" s="40"/>
      <c r="P96" s="40"/>
      <c r="Q96" s="40"/>
      <c r="R96" s="41"/>
      <c r="S96" s="41"/>
      <c r="T96" s="41"/>
      <c r="U96" s="40"/>
      <c r="V96" s="40"/>
      <c r="W96" s="43">
        <v>50</v>
      </c>
      <c r="X96" s="40"/>
      <c r="Y96" s="41"/>
      <c r="Z96" s="43"/>
      <c r="AA96" s="41">
        <v>53</v>
      </c>
      <c r="AB96" s="49">
        <f t="shared" si="4"/>
        <v>414.33333333333331</v>
      </c>
      <c r="AC96" s="59"/>
      <c r="AD96" s="44">
        <f t="shared" si="5"/>
        <v>51.791666666666664</v>
      </c>
    </row>
    <row r="97" spans="1:30" x14ac:dyDescent="0.3">
      <c r="A97" s="7">
        <v>86</v>
      </c>
      <c r="B97" s="42" t="s">
        <v>96</v>
      </c>
      <c r="C97" s="43">
        <v>33</v>
      </c>
      <c r="D97" s="41">
        <v>63</v>
      </c>
      <c r="E97" s="41"/>
      <c r="F97" s="40"/>
      <c r="G97" s="43">
        <v>52</v>
      </c>
      <c r="H97" s="43">
        <v>50</v>
      </c>
      <c r="I97" s="41"/>
      <c r="J97" s="40"/>
      <c r="K97" s="41"/>
      <c r="L97" s="43">
        <v>39</v>
      </c>
      <c r="M97" s="41"/>
      <c r="N97" s="43">
        <v>38</v>
      </c>
      <c r="O97" s="41"/>
      <c r="P97" s="41"/>
      <c r="Q97" s="41"/>
      <c r="R97" s="43">
        <v>70</v>
      </c>
      <c r="S97" s="40"/>
      <c r="T97" s="40"/>
      <c r="U97" s="40"/>
      <c r="V97" s="40"/>
      <c r="W97" s="41"/>
      <c r="X97" s="40"/>
      <c r="Y97" s="40"/>
      <c r="Z97" s="41"/>
      <c r="AA97" s="43">
        <v>69</v>
      </c>
      <c r="AB97" s="49">
        <f t="shared" si="4"/>
        <v>414</v>
      </c>
      <c r="AC97" s="59"/>
      <c r="AD97" s="44">
        <f t="shared" si="5"/>
        <v>51.75</v>
      </c>
    </row>
    <row r="98" spans="1:30" x14ac:dyDescent="0.3">
      <c r="A98" s="7">
        <v>87</v>
      </c>
      <c r="B98" s="42" t="s">
        <v>137</v>
      </c>
      <c r="C98" s="43">
        <v>34</v>
      </c>
      <c r="D98" s="41">
        <v>70</v>
      </c>
      <c r="E98" s="41"/>
      <c r="F98" s="40"/>
      <c r="G98" s="41"/>
      <c r="H98" s="41"/>
      <c r="I98" s="41"/>
      <c r="J98" s="43">
        <v>52</v>
      </c>
      <c r="K98" s="41"/>
      <c r="L98" s="43">
        <v>42</v>
      </c>
      <c r="M98" s="41"/>
      <c r="N98" s="43">
        <v>60</v>
      </c>
      <c r="O98" s="40"/>
      <c r="P98" s="40"/>
      <c r="Q98" s="40"/>
      <c r="R98" s="41"/>
      <c r="S98" s="40"/>
      <c r="T98" s="40"/>
      <c r="U98" s="40"/>
      <c r="V98" s="41"/>
      <c r="W98" s="41"/>
      <c r="X98" s="40"/>
      <c r="Y98" s="43">
        <v>47</v>
      </c>
      <c r="Z98" s="41"/>
      <c r="AA98" s="43">
        <v>57</v>
      </c>
      <c r="AB98" s="49">
        <f t="shared" si="4"/>
        <v>362</v>
      </c>
      <c r="AC98" s="59"/>
      <c r="AD98" s="44">
        <f t="shared" si="5"/>
        <v>51.714285714285715</v>
      </c>
    </row>
    <row r="99" spans="1:30" x14ac:dyDescent="0.3">
      <c r="A99" s="7">
        <v>88</v>
      </c>
      <c r="B99" s="42" t="s">
        <v>104</v>
      </c>
      <c r="C99" s="43">
        <v>39</v>
      </c>
      <c r="D99" s="41">
        <v>83.333333333333329</v>
      </c>
      <c r="E99" s="40"/>
      <c r="F99" s="41"/>
      <c r="G99" s="43">
        <v>51</v>
      </c>
      <c r="H99" s="43">
        <v>55</v>
      </c>
      <c r="I99" s="41"/>
      <c r="J99" s="41"/>
      <c r="K99" s="41"/>
      <c r="L99" s="43">
        <v>42</v>
      </c>
      <c r="M99" s="41"/>
      <c r="N99" s="43">
        <v>38</v>
      </c>
      <c r="O99" s="41"/>
      <c r="P99" s="41"/>
      <c r="Q99" s="41"/>
      <c r="R99" s="43">
        <v>59</v>
      </c>
      <c r="S99" s="40"/>
      <c r="T99" s="41"/>
      <c r="U99" s="41"/>
      <c r="V99" s="40"/>
      <c r="W99" s="41"/>
      <c r="X99" s="40"/>
      <c r="Y99" s="41"/>
      <c r="Z99" s="40"/>
      <c r="AA99" s="43">
        <v>45</v>
      </c>
      <c r="AB99" s="49">
        <f t="shared" si="4"/>
        <v>412.33333333333331</v>
      </c>
      <c r="AC99" s="59"/>
      <c r="AD99" s="44">
        <f t="shared" si="5"/>
        <v>51.541666666666664</v>
      </c>
    </row>
    <row r="100" spans="1:30" x14ac:dyDescent="0.3">
      <c r="A100" s="7">
        <v>89</v>
      </c>
      <c r="B100" s="42" t="s">
        <v>71</v>
      </c>
      <c r="C100" s="43">
        <v>42</v>
      </c>
      <c r="D100" s="41">
        <v>77</v>
      </c>
      <c r="E100" s="40"/>
      <c r="F100" s="43">
        <v>55</v>
      </c>
      <c r="G100" s="41"/>
      <c r="H100" s="43">
        <v>41</v>
      </c>
      <c r="I100" s="40"/>
      <c r="J100" s="40"/>
      <c r="K100" s="40"/>
      <c r="L100" s="43">
        <v>41</v>
      </c>
      <c r="M100" s="43">
        <v>54</v>
      </c>
      <c r="N100" s="41"/>
      <c r="O100" s="40"/>
      <c r="P100" s="40"/>
      <c r="Q100" s="40"/>
      <c r="R100" s="41"/>
      <c r="S100" s="41"/>
      <c r="T100" s="41"/>
      <c r="U100" s="43">
        <v>39</v>
      </c>
      <c r="V100" s="40"/>
      <c r="W100" s="40"/>
      <c r="X100" s="40"/>
      <c r="Y100" s="40"/>
      <c r="Z100" s="40"/>
      <c r="AA100" s="43">
        <v>62</v>
      </c>
      <c r="AB100" s="49">
        <f t="shared" si="4"/>
        <v>411</v>
      </c>
      <c r="AC100" s="59"/>
      <c r="AD100" s="44">
        <f t="shared" si="5"/>
        <v>51.375</v>
      </c>
    </row>
    <row r="101" spans="1:30" x14ac:dyDescent="0.3">
      <c r="A101" s="7">
        <v>90</v>
      </c>
      <c r="B101" s="42" t="s">
        <v>99</v>
      </c>
      <c r="C101" s="43">
        <v>42</v>
      </c>
      <c r="D101" s="41">
        <v>75</v>
      </c>
      <c r="E101" s="41"/>
      <c r="F101" s="41"/>
      <c r="G101" s="43">
        <v>40</v>
      </c>
      <c r="H101" s="43">
        <v>42</v>
      </c>
      <c r="I101" s="40"/>
      <c r="J101" s="40"/>
      <c r="K101" s="40"/>
      <c r="L101" s="43">
        <v>41</v>
      </c>
      <c r="M101" s="41"/>
      <c r="N101" s="43">
        <v>49</v>
      </c>
      <c r="O101" s="40"/>
      <c r="P101" s="40"/>
      <c r="Q101" s="40"/>
      <c r="R101" s="43">
        <v>65</v>
      </c>
      <c r="S101" s="41"/>
      <c r="T101" s="41"/>
      <c r="U101" s="41"/>
      <c r="V101" s="41"/>
      <c r="W101" s="40"/>
      <c r="X101" s="40"/>
      <c r="Y101" s="40"/>
      <c r="Z101" s="41"/>
      <c r="AA101" s="43">
        <v>57</v>
      </c>
      <c r="AB101" s="49">
        <f t="shared" si="4"/>
        <v>411</v>
      </c>
      <c r="AC101" s="59"/>
      <c r="AD101" s="44">
        <f t="shared" si="5"/>
        <v>51.375</v>
      </c>
    </row>
    <row r="102" spans="1:30" x14ac:dyDescent="0.3">
      <c r="A102" s="7">
        <v>91</v>
      </c>
      <c r="B102" s="42" t="s">
        <v>133</v>
      </c>
      <c r="C102" s="43">
        <v>39</v>
      </c>
      <c r="D102" s="41">
        <v>70.333333333333329</v>
      </c>
      <c r="E102" s="41"/>
      <c r="F102" s="41"/>
      <c r="G102" s="40"/>
      <c r="H102" s="41"/>
      <c r="I102" s="40"/>
      <c r="J102" s="43">
        <v>55</v>
      </c>
      <c r="K102" s="40"/>
      <c r="L102" s="43">
        <v>40</v>
      </c>
      <c r="M102" s="41"/>
      <c r="N102" s="43">
        <v>54</v>
      </c>
      <c r="O102" s="40"/>
      <c r="P102" s="40"/>
      <c r="Q102" s="41"/>
      <c r="R102" s="40"/>
      <c r="S102" s="40"/>
      <c r="T102" s="41"/>
      <c r="U102" s="41"/>
      <c r="V102" s="40"/>
      <c r="W102" s="40"/>
      <c r="X102" s="41"/>
      <c r="Y102" s="43">
        <v>49</v>
      </c>
      <c r="Z102" s="41"/>
      <c r="AA102" s="43">
        <v>52</v>
      </c>
      <c r="AB102" s="49">
        <f t="shared" si="4"/>
        <v>359.33333333333331</v>
      </c>
      <c r="AC102" s="59"/>
      <c r="AD102" s="44">
        <f t="shared" si="5"/>
        <v>51.333333333333329</v>
      </c>
    </row>
    <row r="103" spans="1:30" x14ac:dyDescent="0.3">
      <c r="A103" s="7">
        <v>92</v>
      </c>
      <c r="B103" s="42" t="s">
        <v>84</v>
      </c>
      <c r="C103" s="43">
        <v>34</v>
      </c>
      <c r="D103" s="41">
        <v>68.333333333333329</v>
      </c>
      <c r="E103" s="41"/>
      <c r="F103" s="40"/>
      <c r="G103" s="43">
        <v>47</v>
      </c>
      <c r="H103" s="43">
        <v>62</v>
      </c>
      <c r="I103" s="40"/>
      <c r="J103" s="40"/>
      <c r="K103" s="41"/>
      <c r="L103" s="43">
        <v>45</v>
      </c>
      <c r="M103" s="41"/>
      <c r="N103" s="43">
        <v>39</v>
      </c>
      <c r="O103" s="40"/>
      <c r="P103" s="41"/>
      <c r="Q103" s="40"/>
      <c r="R103" s="43">
        <v>66</v>
      </c>
      <c r="S103" s="40"/>
      <c r="T103" s="41"/>
      <c r="U103" s="41"/>
      <c r="V103" s="41"/>
      <c r="W103" s="40"/>
      <c r="X103" s="41"/>
      <c r="Y103" s="40"/>
      <c r="Z103" s="41"/>
      <c r="AA103" s="43">
        <v>49</v>
      </c>
      <c r="AB103" s="49">
        <f t="shared" si="4"/>
        <v>410.33333333333331</v>
      </c>
      <c r="AC103" s="59"/>
      <c r="AD103" s="44">
        <f t="shared" si="5"/>
        <v>51.291666666666664</v>
      </c>
    </row>
    <row r="104" spans="1:30" x14ac:dyDescent="0.3">
      <c r="A104" s="7">
        <v>93</v>
      </c>
      <c r="B104" s="42" t="s">
        <v>69</v>
      </c>
      <c r="C104" s="43">
        <v>42</v>
      </c>
      <c r="D104" s="41">
        <v>71.666666666666671</v>
      </c>
      <c r="E104" s="41"/>
      <c r="F104" s="43">
        <v>62</v>
      </c>
      <c r="G104" s="40"/>
      <c r="H104" s="43">
        <v>40</v>
      </c>
      <c r="I104" s="40"/>
      <c r="J104" s="40"/>
      <c r="K104" s="40"/>
      <c r="L104" s="43">
        <v>30</v>
      </c>
      <c r="M104" s="43">
        <v>55</v>
      </c>
      <c r="N104" s="40"/>
      <c r="O104" s="41"/>
      <c r="P104" s="41"/>
      <c r="Q104" s="40"/>
      <c r="R104" s="40"/>
      <c r="S104" s="40"/>
      <c r="T104" s="40"/>
      <c r="U104" s="43">
        <v>41</v>
      </c>
      <c r="V104" s="40"/>
      <c r="W104" s="40"/>
      <c r="X104" s="40"/>
      <c r="Y104" s="40"/>
      <c r="Z104" s="41"/>
      <c r="AA104" s="43">
        <v>68</v>
      </c>
      <c r="AB104" s="49">
        <f t="shared" si="4"/>
        <v>409.66666666666669</v>
      </c>
      <c r="AC104" s="59"/>
      <c r="AD104" s="44">
        <f t="shared" si="5"/>
        <v>51.208333333333336</v>
      </c>
    </row>
    <row r="105" spans="1:30" x14ac:dyDescent="0.3">
      <c r="A105" s="7">
        <v>94</v>
      </c>
      <c r="B105" s="42" t="s">
        <v>112</v>
      </c>
      <c r="C105" s="43">
        <v>45</v>
      </c>
      <c r="D105" s="41">
        <v>61.333333333333336</v>
      </c>
      <c r="E105" s="41"/>
      <c r="F105" s="41"/>
      <c r="G105" s="41"/>
      <c r="H105" s="43">
        <v>42</v>
      </c>
      <c r="I105" s="41"/>
      <c r="J105" s="41"/>
      <c r="K105" s="41"/>
      <c r="L105" s="43">
        <v>35</v>
      </c>
      <c r="M105" s="43">
        <v>41</v>
      </c>
      <c r="N105" s="41"/>
      <c r="O105" s="41"/>
      <c r="P105" s="41"/>
      <c r="Q105" s="41"/>
      <c r="R105" s="41"/>
      <c r="S105" s="43">
        <v>62</v>
      </c>
      <c r="T105" s="43">
        <v>62</v>
      </c>
      <c r="U105" s="41"/>
      <c r="V105" s="41"/>
      <c r="W105" s="41"/>
      <c r="X105" s="41"/>
      <c r="Y105" s="41"/>
      <c r="Z105" s="41"/>
      <c r="AA105" s="43">
        <v>61</v>
      </c>
      <c r="AB105" s="49">
        <f t="shared" si="4"/>
        <v>409.33333333333337</v>
      </c>
      <c r="AC105" s="59"/>
      <c r="AD105" s="44">
        <f t="shared" si="5"/>
        <v>51.166666666666671</v>
      </c>
    </row>
    <row r="106" spans="1:30" x14ac:dyDescent="0.3">
      <c r="A106" s="7">
        <v>95</v>
      </c>
      <c r="B106" s="42" t="s">
        <v>92</v>
      </c>
      <c r="C106" s="43">
        <v>32</v>
      </c>
      <c r="D106" s="41">
        <v>70.333333333333329</v>
      </c>
      <c r="E106" s="41"/>
      <c r="F106" s="41"/>
      <c r="G106" s="43">
        <v>51</v>
      </c>
      <c r="H106" s="43">
        <v>50</v>
      </c>
      <c r="I106" s="40"/>
      <c r="J106" s="40"/>
      <c r="K106" s="40"/>
      <c r="L106" s="43">
        <v>32</v>
      </c>
      <c r="M106" s="41"/>
      <c r="N106" s="43">
        <v>54</v>
      </c>
      <c r="O106" s="40"/>
      <c r="P106" s="40"/>
      <c r="Q106" s="40"/>
      <c r="R106" s="43">
        <v>58</v>
      </c>
      <c r="S106" s="40"/>
      <c r="T106" s="40"/>
      <c r="U106" s="41"/>
      <c r="V106" s="40"/>
      <c r="W106" s="40"/>
      <c r="X106" s="41"/>
      <c r="Y106" s="40"/>
      <c r="Z106" s="41"/>
      <c r="AA106" s="43">
        <v>62</v>
      </c>
      <c r="AB106" s="49">
        <f t="shared" si="4"/>
        <v>409.33333333333331</v>
      </c>
      <c r="AC106" s="59"/>
      <c r="AD106" s="44">
        <f t="shared" si="5"/>
        <v>51.166666666666664</v>
      </c>
    </row>
    <row r="107" spans="1:30" x14ac:dyDescent="0.3">
      <c r="A107" s="7">
        <v>96</v>
      </c>
      <c r="B107" s="42" t="s">
        <v>158</v>
      </c>
      <c r="C107" s="43">
        <v>45</v>
      </c>
      <c r="D107" s="41">
        <v>66</v>
      </c>
      <c r="E107" s="40"/>
      <c r="F107" s="41"/>
      <c r="G107" s="41"/>
      <c r="H107" s="41"/>
      <c r="I107" s="43">
        <v>58</v>
      </c>
      <c r="J107" s="40"/>
      <c r="K107" s="43">
        <v>51</v>
      </c>
      <c r="L107" s="43">
        <v>40</v>
      </c>
      <c r="M107" s="41"/>
      <c r="N107" s="43">
        <v>62</v>
      </c>
      <c r="O107" s="41"/>
      <c r="P107" s="41"/>
      <c r="Q107" s="41"/>
      <c r="R107" s="41"/>
      <c r="S107" s="40"/>
      <c r="T107" s="41"/>
      <c r="U107" s="41"/>
      <c r="V107" s="40"/>
      <c r="W107" s="43">
        <v>41</v>
      </c>
      <c r="X107" s="40"/>
      <c r="Y107" s="40"/>
      <c r="Z107" s="43"/>
      <c r="AA107" s="41">
        <v>46</v>
      </c>
      <c r="AB107" s="49">
        <f t="shared" si="4"/>
        <v>409</v>
      </c>
      <c r="AC107" s="59"/>
      <c r="AD107" s="44">
        <f t="shared" si="5"/>
        <v>51.125</v>
      </c>
    </row>
    <row r="108" spans="1:30" x14ac:dyDescent="0.3">
      <c r="A108" s="7">
        <v>97</v>
      </c>
      <c r="B108" s="42" t="s">
        <v>135</v>
      </c>
      <c r="C108" s="43">
        <v>33</v>
      </c>
      <c r="D108" s="41">
        <v>74.333333333333329</v>
      </c>
      <c r="E108" s="40"/>
      <c r="F108" s="40"/>
      <c r="G108" s="41"/>
      <c r="H108" s="41"/>
      <c r="I108" s="41"/>
      <c r="J108" s="43">
        <v>38</v>
      </c>
      <c r="K108" s="41"/>
      <c r="L108" s="43">
        <v>38</v>
      </c>
      <c r="M108" s="41"/>
      <c r="N108" s="43">
        <v>53</v>
      </c>
      <c r="O108" s="40"/>
      <c r="P108" s="41"/>
      <c r="Q108" s="40"/>
      <c r="R108" s="41"/>
      <c r="S108" s="40"/>
      <c r="T108" s="41"/>
      <c r="U108" s="41"/>
      <c r="V108" s="40"/>
      <c r="W108" s="41"/>
      <c r="X108" s="40"/>
      <c r="Y108" s="43">
        <v>55</v>
      </c>
      <c r="Z108" s="40"/>
      <c r="AA108" s="43">
        <v>62</v>
      </c>
      <c r="AB108" s="49">
        <f t="shared" si="4"/>
        <v>353.33333333333331</v>
      </c>
      <c r="AC108" s="59"/>
      <c r="AD108" s="44">
        <f t="shared" ref="AD108:AD117" si="6">AVERAGE(C108:AA108)</f>
        <v>50.476190476190474</v>
      </c>
    </row>
    <row r="109" spans="1:30" x14ac:dyDescent="0.3">
      <c r="A109" s="7">
        <v>98</v>
      </c>
      <c r="B109" s="42" t="s">
        <v>100</v>
      </c>
      <c r="C109" s="43">
        <v>35</v>
      </c>
      <c r="D109" s="41">
        <v>65.333333333333329</v>
      </c>
      <c r="E109" s="41"/>
      <c r="F109" s="41"/>
      <c r="G109" s="43">
        <v>62</v>
      </c>
      <c r="H109" s="43">
        <v>42</v>
      </c>
      <c r="I109" s="40"/>
      <c r="J109" s="40"/>
      <c r="K109" s="40"/>
      <c r="L109" s="43">
        <v>33</v>
      </c>
      <c r="M109" s="41"/>
      <c r="N109" s="43">
        <v>41</v>
      </c>
      <c r="O109" s="41"/>
      <c r="P109" s="41"/>
      <c r="Q109" s="40"/>
      <c r="R109" s="43">
        <v>81</v>
      </c>
      <c r="S109" s="40"/>
      <c r="T109" s="40"/>
      <c r="U109" s="41"/>
      <c r="V109" s="40"/>
      <c r="W109" s="40"/>
      <c r="X109" s="41"/>
      <c r="Y109" s="40"/>
      <c r="Z109" s="41"/>
      <c r="AA109" s="43">
        <v>41</v>
      </c>
      <c r="AB109" s="49">
        <f t="shared" si="4"/>
        <v>400.33333333333331</v>
      </c>
      <c r="AC109" s="59"/>
      <c r="AD109" s="44">
        <f t="shared" si="6"/>
        <v>50.041666666666664</v>
      </c>
    </row>
    <row r="110" spans="1:30" x14ac:dyDescent="0.3">
      <c r="A110" s="7">
        <v>99</v>
      </c>
      <c r="B110" s="42" t="s">
        <v>95</v>
      </c>
      <c r="C110" s="43">
        <v>40</v>
      </c>
      <c r="D110" s="41">
        <v>55</v>
      </c>
      <c r="E110" s="41"/>
      <c r="F110" s="41"/>
      <c r="G110" s="43">
        <v>45</v>
      </c>
      <c r="H110" s="43">
        <v>68</v>
      </c>
      <c r="I110" s="40"/>
      <c r="J110" s="40"/>
      <c r="K110" s="40"/>
      <c r="L110" s="43">
        <v>41</v>
      </c>
      <c r="M110" s="41"/>
      <c r="N110" s="43">
        <v>44</v>
      </c>
      <c r="O110" s="41"/>
      <c r="P110" s="41"/>
      <c r="Q110" s="41"/>
      <c r="R110" s="43">
        <v>59</v>
      </c>
      <c r="S110" s="40"/>
      <c r="T110" s="40"/>
      <c r="U110" s="41"/>
      <c r="V110" s="40"/>
      <c r="W110" s="40"/>
      <c r="X110" s="40"/>
      <c r="Y110" s="40"/>
      <c r="Z110" s="41"/>
      <c r="AA110" s="43">
        <v>48</v>
      </c>
      <c r="AB110" s="49">
        <f t="shared" si="4"/>
        <v>400</v>
      </c>
      <c r="AC110" s="59"/>
      <c r="AD110" s="44">
        <f t="shared" si="6"/>
        <v>50</v>
      </c>
    </row>
    <row r="111" spans="1:30" x14ac:dyDescent="0.3">
      <c r="A111" s="7">
        <v>100</v>
      </c>
      <c r="B111" s="42" t="s">
        <v>77</v>
      </c>
      <c r="C111" s="43">
        <v>38</v>
      </c>
      <c r="D111" s="41">
        <v>80.666666666666671</v>
      </c>
      <c r="E111" s="41"/>
      <c r="F111" s="43">
        <v>44</v>
      </c>
      <c r="G111" s="41"/>
      <c r="H111" s="43">
        <v>38</v>
      </c>
      <c r="I111" s="41"/>
      <c r="J111" s="41"/>
      <c r="K111" s="41"/>
      <c r="L111" s="43">
        <v>48</v>
      </c>
      <c r="M111" s="43">
        <v>59</v>
      </c>
      <c r="N111" s="41"/>
      <c r="O111" s="41"/>
      <c r="P111" s="41"/>
      <c r="Q111" s="41"/>
      <c r="R111" s="41"/>
      <c r="S111" s="41"/>
      <c r="T111" s="41"/>
      <c r="U111" s="43">
        <v>34</v>
      </c>
      <c r="V111" s="41"/>
      <c r="W111" s="41"/>
      <c r="X111" s="41"/>
      <c r="Y111" s="41"/>
      <c r="Z111" s="41"/>
      <c r="AA111" s="43">
        <v>58</v>
      </c>
      <c r="AB111" s="49">
        <f t="shared" si="4"/>
        <v>399.66666666666669</v>
      </c>
      <c r="AC111" s="59"/>
      <c r="AD111" s="44">
        <f t="shared" si="6"/>
        <v>49.958333333333336</v>
      </c>
    </row>
    <row r="112" spans="1:30" x14ac:dyDescent="0.3">
      <c r="A112" s="7">
        <v>101</v>
      </c>
      <c r="B112" s="42" t="s">
        <v>89</v>
      </c>
      <c r="C112" s="43">
        <v>39</v>
      </c>
      <c r="D112" s="41">
        <v>76.333333333333329</v>
      </c>
      <c r="E112" s="41"/>
      <c r="F112" s="41"/>
      <c r="G112" s="43">
        <v>38</v>
      </c>
      <c r="H112" s="43">
        <v>42</v>
      </c>
      <c r="I112" s="40"/>
      <c r="J112" s="40"/>
      <c r="K112" s="40"/>
      <c r="L112" s="43">
        <v>38</v>
      </c>
      <c r="M112" s="41"/>
      <c r="N112" s="43">
        <v>38</v>
      </c>
      <c r="O112" s="40"/>
      <c r="P112" s="40"/>
      <c r="Q112" s="40"/>
      <c r="R112" s="43">
        <v>73</v>
      </c>
      <c r="S112" s="41"/>
      <c r="T112" s="41"/>
      <c r="U112" s="41"/>
      <c r="V112" s="41"/>
      <c r="W112" s="40"/>
      <c r="X112" s="40"/>
      <c r="Y112" s="40"/>
      <c r="Z112" s="41"/>
      <c r="AA112" s="43">
        <v>55</v>
      </c>
      <c r="AB112" s="49">
        <f t="shared" si="4"/>
        <v>399.33333333333331</v>
      </c>
      <c r="AC112" s="59"/>
      <c r="AD112" s="44">
        <f t="shared" si="6"/>
        <v>49.916666666666664</v>
      </c>
    </row>
    <row r="113" spans="1:31" x14ac:dyDescent="0.3">
      <c r="A113" s="7">
        <v>102</v>
      </c>
      <c r="B113" s="42" t="s">
        <v>115</v>
      </c>
      <c r="C113" s="43">
        <v>29</v>
      </c>
      <c r="D113" s="41">
        <v>69.666666666666671</v>
      </c>
      <c r="E113" s="41"/>
      <c r="F113" s="41"/>
      <c r="G113" s="41"/>
      <c r="H113" s="43">
        <v>50</v>
      </c>
      <c r="I113" s="41"/>
      <c r="J113" s="41"/>
      <c r="K113" s="41"/>
      <c r="L113" s="43">
        <v>42</v>
      </c>
      <c r="M113" s="43">
        <v>35</v>
      </c>
      <c r="N113" s="41"/>
      <c r="O113" s="41"/>
      <c r="P113" s="41"/>
      <c r="Q113" s="41"/>
      <c r="R113" s="41"/>
      <c r="S113" s="43">
        <v>55</v>
      </c>
      <c r="T113" s="43">
        <v>59</v>
      </c>
      <c r="U113" s="41"/>
      <c r="V113" s="41"/>
      <c r="W113" s="41"/>
      <c r="X113" s="41"/>
      <c r="Y113" s="41"/>
      <c r="Z113" s="41"/>
      <c r="AA113" s="43">
        <v>57</v>
      </c>
      <c r="AB113" s="49">
        <f t="shared" si="4"/>
        <v>396.66666666666669</v>
      </c>
      <c r="AC113" s="59"/>
      <c r="AD113" s="44">
        <f t="shared" si="6"/>
        <v>49.583333333333336</v>
      </c>
    </row>
    <row r="114" spans="1:31" x14ac:dyDescent="0.3">
      <c r="A114" s="7">
        <v>103</v>
      </c>
      <c r="B114" s="42" t="s">
        <v>58</v>
      </c>
      <c r="C114" s="43">
        <v>52</v>
      </c>
      <c r="D114" s="41">
        <v>78</v>
      </c>
      <c r="E114" s="43">
        <v>45</v>
      </c>
      <c r="F114" s="41"/>
      <c r="G114" s="41"/>
      <c r="H114" s="41"/>
      <c r="I114" s="41"/>
      <c r="J114" s="41"/>
      <c r="K114" s="41"/>
      <c r="L114" s="43">
        <v>37</v>
      </c>
      <c r="M114" s="43">
        <v>45</v>
      </c>
      <c r="N114" s="41"/>
      <c r="O114" s="41"/>
      <c r="P114" s="41"/>
      <c r="Q114" s="41"/>
      <c r="R114" s="41"/>
      <c r="S114" s="41"/>
      <c r="T114" s="41"/>
      <c r="U114" s="43">
        <v>42</v>
      </c>
      <c r="V114" s="41"/>
      <c r="W114" s="41"/>
      <c r="X114" s="43">
        <v>52</v>
      </c>
      <c r="Y114" s="41"/>
      <c r="Z114" s="43">
        <v>41</v>
      </c>
      <c r="AA114" s="41"/>
      <c r="AB114" s="49">
        <f t="shared" si="4"/>
        <v>392</v>
      </c>
      <c r="AC114" s="59"/>
      <c r="AD114" s="44">
        <f t="shared" si="6"/>
        <v>49</v>
      </c>
    </row>
    <row r="115" spans="1:31" s="24" customFormat="1" ht="15" customHeight="1" x14ac:dyDescent="0.2">
      <c r="A115" s="7">
        <v>104</v>
      </c>
      <c r="B115" s="42" t="s">
        <v>90</v>
      </c>
      <c r="C115" s="43">
        <v>40</v>
      </c>
      <c r="D115" s="41">
        <v>59.666666666666664</v>
      </c>
      <c r="E115" s="41"/>
      <c r="F115" s="41"/>
      <c r="G115" s="43">
        <v>41</v>
      </c>
      <c r="H115" s="43">
        <v>47</v>
      </c>
      <c r="I115" s="40"/>
      <c r="J115" s="40"/>
      <c r="K115" s="40"/>
      <c r="L115" s="43">
        <v>52</v>
      </c>
      <c r="M115" s="41"/>
      <c r="N115" s="43">
        <v>40</v>
      </c>
      <c r="O115" s="41"/>
      <c r="P115" s="41"/>
      <c r="Q115" s="40"/>
      <c r="R115" s="43">
        <v>62</v>
      </c>
      <c r="S115" s="40"/>
      <c r="T115" s="40"/>
      <c r="U115" s="41"/>
      <c r="V115" s="40"/>
      <c r="W115" s="40"/>
      <c r="X115" s="40"/>
      <c r="Y115" s="40"/>
      <c r="Z115" s="41"/>
      <c r="AA115" s="43">
        <v>50</v>
      </c>
      <c r="AB115" s="49">
        <f t="shared" si="4"/>
        <v>391.66666666666663</v>
      </c>
      <c r="AC115" s="59"/>
      <c r="AD115" s="44">
        <f t="shared" si="6"/>
        <v>48.958333333333329</v>
      </c>
      <c r="AE115" s="62"/>
    </row>
    <row r="116" spans="1:31" x14ac:dyDescent="0.3">
      <c r="A116" s="7">
        <v>105</v>
      </c>
      <c r="B116" s="42" t="s">
        <v>67</v>
      </c>
      <c r="C116" s="43">
        <v>69</v>
      </c>
      <c r="D116" s="41">
        <v>70.666666666666671</v>
      </c>
      <c r="E116" s="40"/>
      <c r="F116" s="43">
        <v>35</v>
      </c>
      <c r="G116" s="41"/>
      <c r="H116" s="43">
        <v>32</v>
      </c>
      <c r="I116" s="40"/>
      <c r="J116" s="40"/>
      <c r="K116" s="41"/>
      <c r="L116" s="43">
        <v>32</v>
      </c>
      <c r="M116" s="43">
        <v>50</v>
      </c>
      <c r="N116" s="41"/>
      <c r="O116" s="40"/>
      <c r="P116" s="41"/>
      <c r="Q116" s="41"/>
      <c r="R116" s="41"/>
      <c r="S116" s="40"/>
      <c r="T116" s="41"/>
      <c r="U116" s="43">
        <v>51</v>
      </c>
      <c r="V116" s="40"/>
      <c r="W116" s="40"/>
      <c r="X116" s="40"/>
      <c r="Y116" s="40"/>
      <c r="Z116" s="41"/>
      <c r="AA116" s="43">
        <v>51</v>
      </c>
      <c r="AB116" s="49">
        <f t="shared" si="4"/>
        <v>390.66666666666669</v>
      </c>
      <c r="AC116" s="59"/>
      <c r="AD116" s="44">
        <f t="shared" si="6"/>
        <v>48.833333333333336</v>
      </c>
    </row>
    <row r="117" spans="1:31" x14ac:dyDescent="0.3">
      <c r="A117" s="7">
        <v>106</v>
      </c>
      <c r="B117" s="42" t="s">
        <v>91</v>
      </c>
      <c r="C117" s="43">
        <v>38</v>
      </c>
      <c r="D117" s="41">
        <v>70</v>
      </c>
      <c r="E117" s="40"/>
      <c r="F117" s="41"/>
      <c r="G117" s="43">
        <v>47</v>
      </c>
      <c r="H117" s="43">
        <v>41</v>
      </c>
      <c r="I117" s="41"/>
      <c r="J117" s="40"/>
      <c r="K117" s="41"/>
      <c r="L117" s="43">
        <v>45</v>
      </c>
      <c r="M117" s="41"/>
      <c r="N117" s="43">
        <v>39</v>
      </c>
      <c r="O117" s="41"/>
      <c r="P117" s="40"/>
      <c r="Q117" s="41"/>
      <c r="R117" s="43">
        <v>55</v>
      </c>
      <c r="S117" s="40"/>
      <c r="T117" s="41"/>
      <c r="U117" s="41"/>
      <c r="V117" s="40"/>
      <c r="W117" s="41"/>
      <c r="X117" s="40"/>
      <c r="Y117" s="40"/>
      <c r="Z117" s="40"/>
      <c r="AA117" s="43">
        <v>55</v>
      </c>
      <c r="AB117" s="49">
        <f t="shared" si="4"/>
        <v>390</v>
      </c>
      <c r="AC117" s="59"/>
      <c r="AD117" s="44">
        <f t="shared" si="6"/>
        <v>48.75</v>
      </c>
    </row>
    <row r="118" spans="1:31" ht="123.6" x14ac:dyDescent="0.3">
      <c r="A118" s="20" t="s">
        <v>171</v>
      </c>
      <c r="B118" s="34" t="s">
        <v>172</v>
      </c>
      <c r="C118" s="39" t="s">
        <v>3</v>
      </c>
      <c r="D118" s="39" t="s">
        <v>19</v>
      </c>
      <c r="E118" s="39" t="s">
        <v>163</v>
      </c>
      <c r="F118" s="39" t="s">
        <v>20</v>
      </c>
      <c r="G118" s="39" t="s">
        <v>174</v>
      </c>
      <c r="H118" s="39" t="s">
        <v>168</v>
      </c>
      <c r="I118" s="39" t="s">
        <v>159</v>
      </c>
      <c r="J118" s="39" t="s">
        <v>140</v>
      </c>
      <c r="K118" s="39" t="s">
        <v>160</v>
      </c>
      <c r="L118" s="39" t="s">
        <v>21</v>
      </c>
      <c r="M118" s="39" t="s">
        <v>22</v>
      </c>
      <c r="N118" s="39" t="s">
        <v>169</v>
      </c>
      <c r="O118" s="39" t="s">
        <v>46</v>
      </c>
      <c r="P118" s="39" t="s">
        <v>23</v>
      </c>
      <c r="Q118" s="39" t="s">
        <v>24</v>
      </c>
      <c r="R118" s="39" t="s">
        <v>109</v>
      </c>
      <c r="S118" s="39" t="s">
        <v>123</v>
      </c>
      <c r="T118" s="39" t="s">
        <v>124</v>
      </c>
      <c r="U118" s="39" t="s">
        <v>173</v>
      </c>
      <c r="V118" s="39" t="s">
        <v>131</v>
      </c>
      <c r="W118" s="39" t="s">
        <v>179</v>
      </c>
      <c r="X118" s="39" t="s">
        <v>164</v>
      </c>
      <c r="Y118" s="39" t="s">
        <v>141</v>
      </c>
      <c r="Z118" s="39" t="s">
        <v>165</v>
      </c>
      <c r="AA118" s="39" t="s">
        <v>47</v>
      </c>
      <c r="AB118" s="31" t="s">
        <v>166</v>
      </c>
      <c r="AC118" s="58"/>
      <c r="AD118" s="29" t="s">
        <v>167</v>
      </c>
      <c r="AE118" s="29" t="s">
        <v>189</v>
      </c>
    </row>
    <row r="120" spans="1:31" x14ac:dyDescent="0.3">
      <c r="A120" s="7">
        <v>107</v>
      </c>
      <c r="B120" s="42" t="s">
        <v>154</v>
      </c>
      <c r="C120" s="43">
        <v>39</v>
      </c>
      <c r="D120" s="41">
        <v>67.666666666666671</v>
      </c>
      <c r="E120" s="40"/>
      <c r="F120" s="40"/>
      <c r="G120" s="41"/>
      <c r="H120" s="41"/>
      <c r="I120" s="43">
        <v>50</v>
      </c>
      <c r="J120" s="41"/>
      <c r="K120" s="43">
        <v>41</v>
      </c>
      <c r="L120" s="43">
        <v>48</v>
      </c>
      <c r="M120" s="40"/>
      <c r="N120" s="43">
        <v>58</v>
      </c>
      <c r="O120" s="40"/>
      <c r="P120" s="40"/>
      <c r="Q120" s="40"/>
      <c r="R120" s="41"/>
      <c r="S120" s="40"/>
      <c r="T120" s="40"/>
      <c r="U120" s="40"/>
      <c r="V120" s="40"/>
      <c r="W120" s="43">
        <v>47</v>
      </c>
      <c r="X120" s="40"/>
      <c r="Y120" s="41"/>
      <c r="Z120" s="43"/>
      <c r="AA120" s="41">
        <v>37</v>
      </c>
      <c r="AB120" s="49">
        <f t="shared" ref="AB120:AB131" si="7">SUM(C120:AA120)</f>
        <v>387.66666666666669</v>
      </c>
      <c r="AC120" s="59"/>
      <c r="AD120" s="44">
        <f t="shared" ref="AD120:AD131" si="8">AVERAGE(C120:AA120)</f>
        <v>48.458333333333336</v>
      </c>
    </row>
    <row r="121" spans="1:31" x14ac:dyDescent="0.3">
      <c r="A121" s="7">
        <v>108</v>
      </c>
      <c r="B121" s="42" t="s">
        <v>103</v>
      </c>
      <c r="C121" s="43">
        <v>39</v>
      </c>
      <c r="D121" s="41">
        <v>59.333333333333336</v>
      </c>
      <c r="E121" s="41"/>
      <c r="F121" s="41"/>
      <c r="G121" s="43">
        <v>42</v>
      </c>
      <c r="H121" s="43">
        <v>58</v>
      </c>
      <c r="I121" s="41"/>
      <c r="J121" s="41"/>
      <c r="K121" s="41"/>
      <c r="L121" s="43">
        <v>42</v>
      </c>
      <c r="M121" s="41"/>
      <c r="N121" s="43">
        <v>42</v>
      </c>
      <c r="O121" s="41"/>
      <c r="P121" s="41"/>
      <c r="Q121" s="41"/>
      <c r="R121" s="43">
        <v>55</v>
      </c>
      <c r="S121" s="41"/>
      <c r="T121" s="41"/>
      <c r="U121" s="41"/>
      <c r="V121" s="41"/>
      <c r="W121" s="41"/>
      <c r="X121" s="41"/>
      <c r="Y121" s="41"/>
      <c r="Z121" s="41"/>
      <c r="AA121" s="43">
        <v>49</v>
      </c>
      <c r="AB121" s="49">
        <f t="shared" si="7"/>
        <v>386.33333333333337</v>
      </c>
      <c r="AC121" s="59"/>
      <c r="AD121" s="44">
        <f t="shared" si="8"/>
        <v>48.291666666666671</v>
      </c>
    </row>
    <row r="122" spans="1:31" x14ac:dyDescent="0.3">
      <c r="A122" s="7">
        <v>109</v>
      </c>
      <c r="B122" s="42" t="s">
        <v>94</v>
      </c>
      <c r="C122" s="43">
        <v>42</v>
      </c>
      <c r="D122" s="41">
        <v>63</v>
      </c>
      <c r="E122" s="41"/>
      <c r="F122" s="41"/>
      <c r="G122" s="43">
        <v>41</v>
      </c>
      <c r="H122" s="43">
        <v>38</v>
      </c>
      <c r="I122" s="40"/>
      <c r="J122" s="40"/>
      <c r="K122" s="40"/>
      <c r="L122" s="43">
        <v>41</v>
      </c>
      <c r="M122" s="41"/>
      <c r="N122" s="43">
        <v>42</v>
      </c>
      <c r="O122" s="40"/>
      <c r="P122" s="40"/>
      <c r="Q122" s="40"/>
      <c r="R122" s="43">
        <v>50</v>
      </c>
      <c r="S122" s="40"/>
      <c r="T122" s="40"/>
      <c r="U122" s="41"/>
      <c r="V122" s="40"/>
      <c r="W122" s="40"/>
      <c r="X122" s="41"/>
      <c r="Y122" s="40"/>
      <c r="Z122" s="41"/>
      <c r="AA122" s="43">
        <v>60</v>
      </c>
      <c r="AB122" s="49">
        <f t="shared" si="7"/>
        <v>377</v>
      </c>
      <c r="AC122" s="59"/>
      <c r="AD122" s="44">
        <f t="shared" si="8"/>
        <v>47.125</v>
      </c>
    </row>
    <row r="123" spans="1:31" x14ac:dyDescent="0.3">
      <c r="A123" s="7">
        <v>110</v>
      </c>
      <c r="B123" s="42" t="s">
        <v>97</v>
      </c>
      <c r="C123" s="43">
        <v>22</v>
      </c>
      <c r="D123" s="41">
        <v>55</v>
      </c>
      <c r="E123" s="41"/>
      <c r="F123" s="41"/>
      <c r="G123" s="43">
        <v>46</v>
      </c>
      <c r="H123" s="43">
        <v>51</v>
      </c>
      <c r="I123" s="40"/>
      <c r="J123" s="40"/>
      <c r="K123" s="40"/>
      <c r="L123" s="43">
        <v>44</v>
      </c>
      <c r="M123" s="41"/>
      <c r="N123" s="43">
        <v>38</v>
      </c>
      <c r="O123" s="41"/>
      <c r="P123" s="41"/>
      <c r="Q123" s="40"/>
      <c r="R123" s="43">
        <v>69</v>
      </c>
      <c r="S123" s="40"/>
      <c r="T123" s="40"/>
      <c r="U123" s="41"/>
      <c r="V123" s="40"/>
      <c r="W123" s="40"/>
      <c r="X123" s="41"/>
      <c r="Y123" s="40"/>
      <c r="Z123" s="41"/>
      <c r="AA123" s="43">
        <v>52</v>
      </c>
      <c r="AB123" s="49">
        <f t="shared" si="7"/>
        <v>377</v>
      </c>
      <c r="AC123" s="59"/>
      <c r="AD123" s="44">
        <f t="shared" si="8"/>
        <v>47.125</v>
      </c>
    </row>
    <row r="124" spans="1:31" x14ac:dyDescent="0.3">
      <c r="A124" s="7">
        <v>111</v>
      </c>
      <c r="B124" s="42" t="s">
        <v>70</v>
      </c>
      <c r="C124" s="43">
        <v>33</v>
      </c>
      <c r="D124" s="41">
        <v>71</v>
      </c>
      <c r="E124" s="41"/>
      <c r="F124" s="43">
        <v>48</v>
      </c>
      <c r="G124" s="41"/>
      <c r="H124" s="43">
        <v>45</v>
      </c>
      <c r="I124" s="41"/>
      <c r="J124" s="41"/>
      <c r="K124" s="41"/>
      <c r="L124" s="43">
        <v>40</v>
      </c>
      <c r="M124" s="43">
        <v>41</v>
      </c>
      <c r="N124" s="41"/>
      <c r="O124" s="41"/>
      <c r="P124" s="41"/>
      <c r="Q124" s="41"/>
      <c r="R124" s="41"/>
      <c r="S124" s="41"/>
      <c r="T124" s="41"/>
      <c r="U124" s="43">
        <v>37</v>
      </c>
      <c r="V124" s="41"/>
      <c r="W124" s="41"/>
      <c r="X124" s="41"/>
      <c r="Y124" s="41"/>
      <c r="Z124" s="41"/>
      <c r="AA124" s="43">
        <v>59</v>
      </c>
      <c r="AB124" s="49">
        <f t="shared" si="7"/>
        <v>374</v>
      </c>
      <c r="AC124" s="59"/>
      <c r="AD124" s="44">
        <f t="shared" si="8"/>
        <v>46.75</v>
      </c>
    </row>
    <row r="125" spans="1:31" x14ac:dyDescent="0.3">
      <c r="A125" s="7">
        <v>112</v>
      </c>
      <c r="B125" s="42" t="s">
        <v>152</v>
      </c>
      <c r="C125" s="43">
        <v>38</v>
      </c>
      <c r="D125" s="41">
        <v>68</v>
      </c>
      <c r="E125" s="40"/>
      <c r="F125" s="41"/>
      <c r="G125" s="41"/>
      <c r="H125" s="41"/>
      <c r="I125" s="43">
        <v>48</v>
      </c>
      <c r="J125" s="40"/>
      <c r="K125" s="43">
        <v>39</v>
      </c>
      <c r="L125" s="43">
        <v>41</v>
      </c>
      <c r="M125" s="41"/>
      <c r="N125" s="43">
        <v>41</v>
      </c>
      <c r="O125" s="41"/>
      <c r="P125" s="40"/>
      <c r="Q125" s="41"/>
      <c r="R125" s="41"/>
      <c r="S125" s="40"/>
      <c r="T125" s="41"/>
      <c r="U125" s="41"/>
      <c r="V125" s="40"/>
      <c r="W125" s="43">
        <v>52</v>
      </c>
      <c r="X125" s="40"/>
      <c r="Y125" s="40"/>
      <c r="Z125" s="43"/>
      <c r="AA125" s="41">
        <v>47</v>
      </c>
      <c r="AB125" s="49">
        <f t="shared" si="7"/>
        <v>374</v>
      </c>
      <c r="AC125" s="59"/>
      <c r="AD125" s="44">
        <f t="shared" si="8"/>
        <v>46.75</v>
      </c>
    </row>
    <row r="126" spans="1:31" x14ac:dyDescent="0.3">
      <c r="A126" s="7">
        <v>113</v>
      </c>
      <c r="B126" s="42" t="s">
        <v>75</v>
      </c>
      <c r="C126" s="43">
        <v>42</v>
      </c>
      <c r="D126" s="41">
        <v>75.333333333333329</v>
      </c>
      <c r="E126" s="41"/>
      <c r="F126" s="43">
        <v>41</v>
      </c>
      <c r="G126" s="41"/>
      <c r="H126" s="43">
        <v>58</v>
      </c>
      <c r="I126" s="40"/>
      <c r="J126" s="40"/>
      <c r="K126" s="40"/>
      <c r="L126" s="43">
        <v>32</v>
      </c>
      <c r="M126" s="43">
        <v>40</v>
      </c>
      <c r="N126" s="40"/>
      <c r="O126" s="41"/>
      <c r="P126" s="41"/>
      <c r="Q126" s="41"/>
      <c r="R126" s="40"/>
      <c r="S126" s="40"/>
      <c r="T126" s="41"/>
      <c r="U126" s="43">
        <v>40</v>
      </c>
      <c r="V126" s="40"/>
      <c r="W126" s="40"/>
      <c r="X126" s="40"/>
      <c r="Y126" s="40"/>
      <c r="Z126" s="41"/>
      <c r="AA126" s="43">
        <v>42</v>
      </c>
      <c r="AB126" s="49">
        <f t="shared" si="7"/>
        <v>370.33333333333331</v>
      </c>
      <c r="AC126" s="59"/>
      <c r="AD126" s="44">
        <f t="shared" si="8"/>
        <v>46.291666666666664</v>
      </c>
    </row>
    <row r="127" spans="1:31" x14ac:dyDescent="0.3">
      <c r="A127" s="7">
        <v>114</v>
      </c>
      <c r="B127" s="42" t="s">
        <v>68</v>
      </c>
      <c r="C127" s="43">
        <v>42</v>
      </c>
      <c r="D127" s="41">
        <v>63</v>
      </c>
      <c r="E127" s="41"/>
      <c r="F127" s="43">
        <v>35</v>
      </c>
      <c r="G127" s="41"/>
      <c r="H127" s="43">
        <v>55</v>
      </c>
      <c r="I127" s="41"/>
      <c r="J127" s="41"/>
      <c r="K127" s="41"/>
      <c r="L127" s="43">
        <v>41</v>
      </c>
      <c r="M127" s="43">
        <v>42</v>
      </c>
      <c r="N127" s="41"/>
      <c r="O127" s="41"/>
      <c r="P127" s="41"/>
      <c r="Q127" s="41"/>
      <c r="R127" s="41"/>
      <c r="S127" s="41"/>
      <c r="T127" s="41"/>
      <c r="U127" s="43">
        <v>41</v>
      </c>
      <c r="V127" s="41"/>
      <c r="W127" s="41"/>
      <c r="X127" s="41"/>
      <c r="Y127" s="41"/>
      <c r="Z127" s="41"/>
      <c r="AA127" s="43">
        <v>49</v>
      </c>
      <c r="AB127" s="49">
        <f t="shared" si="7"/>
        <v>368</v>
      </c>
      <c r="AC127" s="59"/>
      <c r="AD127" s="44">
        <f t="shared" si="8"/>
        <v>46</v>
      </c>
    </row>
    <row r="128" spans="1:31" x14ac:dyDescent="0.3">
      <c r="A128" s="7">
        <v>115</v>
      </c>
      <c r="B128" s="42" t="s">
        <v>73</v>
      </c>
      <c r="C128" s="43">
        <v>40</v>
      </c>
      <c r="D128" s="41">
        <v>60.333333333333336</v>
      </c>
      <c r="E128" s="41"/>
      <c r="F128" s="43">
        <v>38</v>
      </c>
      <c r="G128" s="41"/>
      <c r="H128" s="43">
        <v>37</v>
      </c>
      <c r="I128" s="41"/>
      <c r="J128" s="41"/>
      <c r="K128" s="41"/>
      <c r="L128" s="43">
        <v>53</v>
      </c>
      <c r="M128" s="43">
        <v>47</v>
      </c>
      <c r="N128" s="41"/>
      <c r="O128" s="41"/>
      <c r="P128" s="41"/>
      <c r="Q128" s="41"/>
      <c r="R128" s="41"/>
      <c r="S128" s="41"/>
      <c r="T128" s="41"/>
      <c r="U128" s="43">
        <v>39</v>
      </c>
      <c r="V128" s="41"/>
      <c r="W128" s="41"/>
      <c r="X128" s="41"/>
      <c r="Y128" s="41"/>
      <c r="Z128" s="41"/>
      <c r="AA128" s="43">
        <v>53</v>
      </c>
      <c r="AB128" s="49">
        <f t="shared" si="7"/>
        <v>367.33333333333337</v>
      </c>
      <c r="AC128" s="59"/>
      <c r="AD128" s="44">
        <f t="shared" si="8"/>
        <v>45.916666666666671</v>
      </c>
    </row>
    <row r="129" spans="1:30" x14ac:dyDescent="0.3">
      <c r="A129" s="7">
        <v>116</v>
      </c>
      <c r="B129" s="42" t="s">
        <v>79</v>
      </c>
      <c r="C129" s="43">
        <v>35</v>
      </c>
      <c r="D129" s="41">
        <v>62</v>
      </c>
      <c r="E129" s="41"/>
      <c r="F129" s="43">
        <v>40</v>
      </c>
      <c r="G129" s="41"/>
      <c r="H129" s="43">
        <v>44</v>
      </c>
      <c r="I129" s="41"/>
      <c r="J129" s="41"/>
      <c r="K129" s="41"/>
      <c r="L129" s="43">
        <v>45</v>
      </c>
      <c r="M129" s="43">
        <v>47</v>
      </c>
      <c r="N129" s="41"/>
      <c r="O129" s="41"/>
      <c r="P129" s="41"/>
      <c r="Q129" s="41"/>
      <c r="R129" s="41"/>
      <c r="S129" s="41"/>
      <c r="T129" s="41"/>
      <c r="U129" s="43">
        <v>39</v>
      </c>
      <c r="V129" s="41"/>
      <c r="W129" s="41"/>
      <c r="X129" s="41"/>
      <c r="Y129" s="41"/>
      <c r="Z129" s="41"/>
      <c r="AA129" s="43">
        <v>50</v>
      </c>
      <c r="AB129" s="49">
        <f t="shared" si="7"/>
        <v>362</v>
      </c>
      <c r="AC129" s="59"/>
      <c r="AD129" s="44">
        <f t="shared" si="8"/>
        <v>45.25</v>
      </c>
    </row>
    <row r="130" spans="1:30" x14ac:dyDescent="0.3">
      <c r="A130" s="7">
        <v>117</v>
      </c>
      <c r="B130" s="42" t="s">
        <v>147</v>
      </c>
      <c r="C130" s="43">
        <v>44</v>
      </c>
      <c r="D130" s="41">
        <v>62.666666666666664</v>
      </c>
      <c r="E130" s="41"/>
      <c r="F130" s="40"/>
      <c r="G130" s="40"/>
      <c r="H130" s="41"/>
      <c r="I130" s="43">
        <v>44</v>
      </c>
      <c r="J130" s="40"/>
      <c r="K130" s="43">
        <v>42</v>
      </c>
      <c r="L130" s="43">
        <v>35</v>
      </c>
      <c r="M130" s="41"/>
      <c r="N130" s="43">
        <v>45</v>
      </c>
      <c r="O130" s="41"/>
      <c r="P130" s="41"/>
      <c r="Q130" s="40"/>
      <c r="R130" s="40"/>
      <c r="S130" s="41"/>
      <c r="T130" s="41"/>
      <c r="U130" s="40"/>
      <c r="V130" s="40"/>
      <c r="W130" s="43">
        <v>39</v>
      </c>
      <c r="X130" s="40"/>
      <c r="Y130" s="40"/>
      <c r="Z130" s="43"/>
      <c r="AA130" s="41">
        <v>45</v>
      </c>
      <c r="AB130" s="49">
        <f t="shared" si="7"/>
        <v>356.66666666666663</v>
      </c>
      <c r="AC130" s="59"/>
      <c r="AD130" s="44">
        <f t="shared" si="8"/>
        <v>44.583333333333329</v>
      </c>
    </row>
    <row r="131" spans="1:30" x14ac:dyDescent="0.3">
      <c r="A131" s="7">
        <v>118</v>
      </c>
      <c r="B131" s="42" t="s">
        <v>74</v>
      </c>
      <c r="C131" s="43">
        <v>39</v>
      </c>
      <c r="D131" s="41">
        <v>58.666666666666664</v>
      </c>
      <c r="E131" s="41"/>
      <c r="F131" s="43">
        <v>33</v>
      </c>
      <c r="G131" s="40"/>
      <c r="H131" s="43">
        <v>40</v>
      </c>
      <c r="I131" s="40"/>
      <c r="J131" s="40"/>
      <c r="K131" s="40"/>
      <c r="L131" s="43">
        <v>34</v>
      </c>
      <c r="M131" s="43">
        <v>38</v>
      </c>
      <c r="N131" s="40"/>
      <c r="O131" s="40"/>
      <c r="P131" s="41"/>
      <c r="Q131" s="41"/>
      <c r="R131" s="40"/>
      <c r="S131" s="40"/>
      <c r="T131" s="40"/>
      <c r="U131" s="43">
        <v>44</v>
      </c>
      <c r="V131" s="40"/>
      <c r="W131" s="40"/>
      <c r="X131" s="41"/>
      <c r="Y131" s="40"/>
      <c r="Z131" s="41"/>
      <c r="AA131" s="43">
        <v>48</v>
      </c>
      <c r="AB131" s="49">
        <f t="shared" si="7"/>
        <v>334.66666666666663</v>
      </c>
      <c r="AC131" s="59"/>
      <c r="AD131" s="44">
        <f t="shared" si="8"/>
        <v>41.833333333333329</v>
      </c>
    </row>
    <row r="132" spans="1:30" x14ac:dyDescent="0.3">
      <c r="AB132" s="32"/>
      <c r="AC132" s="60"/>
      <c r="AD132" s="13"/>
    </row>
    <row r="133" spans="1:30" x14ac:dyDescent="0.3">
      <c r="A133" s="24"/>
      <c r="C133" s="24">
        <f t="shared" ref="C133:AA133" si="9">AVERAGE(C8:C131)</f>
        <v>55.805084745762713</v>
      </c>
      <c r="D133" s="24">
        <f t="shared" si="9"/>
        <v>78.209039548022574</v>
      </c>
      <c r="E133" s="24">
        <f t="shared" si="9"/>
        <v>74.171428571428578</v>
      </c>
      <c r="F133" s="24">
        <f t="shared" si="9"/>
        <v>59.166666666666664</v>
      </c>
      <c r="G133" s="24">
        <f t="shared" si="9"/>
        <v>56</v>
      </c>
      <c r="H133" s="24">
        <f t="shared" si="9"/>
        <v>54.948275862068968</v>
      </c>
      <c r="I133" s="24">
        <f t="shared" si="9"/>
        <v>62.375</v>
      </c>
      <c r="J133" s="24">
        <f t="shared" si="9"/>
        <v>64.142857142857139</v>
      </c>
      <c r="K133" s="24">
        <f t="shared" si="9"/>
        <v>61.4375</v>
      </c>
      <c r="L133" s="24">
        <f t="shared" si="9"/>
        <v>57.449152542372879</v>
      </c>
      <c r="M133" s="24">
        <f t="shared" si="9"/>
        <v>65.661971830985919</v>
      </c>
      <c r="N133" s="24">
        <f t="shared" si="9"/>
        <v>56.659574468085104</v>
      </c>
      <c r="O133" s="24">
        <f t="shared" si="9"/>
        <v>73.25</v>
      </c>
      <c r="P133" s="24">
        <f t="shared" si="9"/>
        <v>77.125</v>
      </c>
      <c r="Q133" s="24">
        <f t="shared" si="9"/>
        <v>77.25</v>
      </c>
      <c r="R133" s="24">
        <f t="shared" si="9"/>
        <v>67.875</v>
      </c>
      <c r="S133" s="24">
        <f t="shared" si="9"/>
        <v>68.666666666666671</v>
      </c>
      <c r="T133" s="24">
        <f t="shared" si="9"/>
        <v>70.166666666666671</v>
      </c>
      <c r="U133" s="24">
        <f t="shared" si="9"/>
        <v>58.891891891891895</v>
      </c>
      <c r="V133" s="24">
        <f t="shared" si="9"/>
        <v>89.5</v>
      </c>
      <c r="W133" s="24">
        <f t="shared" si="9"/>
        <v>63.125</v>
      </c>
      <c r="X133" s="24">
        <f t="shared" si="9"/>
        <v>71.615384615384613</v>
      </c>
      <c r="Y133" s="24">
        <f t="shared" si="9"/>
        <v>60.428571428571431</v>
      </c>
      <c r="Z133" s="24">
        <f t="shared" si="9"/>
        <v>72.093023255813947</v>
      </c>
      <c r="AA133" s="24">
        <f t="shared" si="9"/>
        <v>64.384615384615387</v>
      </c>
      <c r="AB133" s="32">
        <f>SUM(C133:AA133)</f>
        <v>1660.3983712878612</v>
      </c>
      <c r="AC133" s="60"/>
      <c r="AD133" s="13">
        <f>AVERAGE(C133:AA133)</f>
        <v>66.41593485151445</v>
      </c>
    </row>
  </sheetData>
  <sortState ref="B8:AD16">
    <sortCondition descending="1" ref="AD16"/>
  </sortState>
  <mergeCells count="5">
    <mergeCell ref="A1:D5"/>
    <mergeCell ref="E1:AE1"/>
    <mergeCell ref="E2:AE2"/>
    <mergeCell ref="E3:AE3"/>
    <mergeCell ref="E4:AE4"/>
  </mergeCells>
  <printOptions gridLines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"/>
  <sheetViews>
    <sheetView topLeftCell="A7" workbookViewId="0">
      <selection activeCell="J24" sqref="J24"/>
    </sheetView>
  </sheetViews>
  <sheetFormatPr defaultRowHeight="14.4" x14ac:dyDescent="0.3"/>
  <cols>
    <col min="1" max="1" width="2.5546875" style="19" customWidth="1"/>
    <col min="2" max="2" width="10.6640625" style="24" customWidth="1"/>
    <col min="3" max="27" width="2.6640625" style="24" customWidth="1"/>
    <col min="28" max="28" width="4.33203125" style="33" customWidth="1"/>
    <col min="29" max="29" width="0.6640625" customWidth="1"/>
    <col min="30" max="30" width="3.88671875" style="24" customWidth="1"/>
  </cols>
  <sheetData>
    <row r="1" spans="1:30" x14ac:dyDescent="0.3">
      <c r="A1" s="67" t="s">
        <v>185</v>
      </c>
      <c r="B1" s="67"/>
      <c r="C1" s="67"/>
      <c r="D1" s="67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67"/>
      <c r="B2" s="67"/>
      <c r="C2" s="67"/>
      <c r="D2" s="67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x14ac:dyDescent="0.3">
      <c r="A3" s="67"/>
      <c r="B3" s="67"/>
      <c r="C3" s="67"/>
      <c r="D3" s="67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0" x14ac:dyDescent="0.3">
      <c r="A4" s="67"/>
      <c r="B4" s="67"/>
      <c r="C4" s="67"/>
      <c r="D4" s="67"/>
      <c r="E4" s="66" t="s">
        <v>182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0" x14ac:dyDescent="0.3">
      <c r="A5" s="67"/>
      <c r="B5" s="67"/>
      <c r="C5" s="67"/>
      <c r="D5" s="67"/>
      <c r="N5" s="38"/>
      <c r="O5" s="17"/>
      <c r="AB5" s="30"/>
      <c r="AC5" s="11"/>
      <c r="AD5" s="28"/>
    </row>
    <row r="6" spans="1:30" ht="123.6" x14ac:dyDescent="0.3">
      <c r="A6" s="20" t="s">
        <v>171</v>
      </c>
      <c r="B6" s="34" t="s">
        <v>172</v>
      </c>
      <c r="C6" s="39" t="s">
        <v>3</v>
      </c>
      <c r="D6" s="39" t="s">
        <v>19</v>
      </c>
      <c r="E6" s="39" t="s">
        <v>163</v>
      </c>
      <c r="F6" s="39" t="s">
        <v>20</v>
      </c>
      <c r="G6" s="39" t="s">
        <v>174</v>
      </c>
      <c r="H6" s="39" t="s">
        <v>168</v>
      </c>
      <c r="I6" s="39" t="s">
        <v>159</v>
      </c>
      <c r="J6" s="39" t="s">
        <v>140</v>
      </c>
      <c r="K6" s="39" t="s">
        <v>160</v>
      </c>
      <c r="L6" s="39" t="s">
        <v>21</v>
      </c>
      <c r="M6" s="39" t="s">
        <v>22</v>
      </c>
      <c r="N6" s="39" t="s">
        <v>169</v>
      </c>
      <c r="O6" s="39" t="s">
        <v>46</v>
      </c>
      <c r="P6" s="39" t="s">
        <v>23</v>
      </c>
      <c r="Q6" s="39" t="s">
        <v>24</v>
      </c>
      <c r="R6" s="39" t="s">
        <v>109</v>
      </c>
      <c r="S6" s="39" t="s">
        <v>123</v>
      </c>
      <c r="T6" s="39" t="s">
        <v>124</v>
      </c>
      <c r="U6" s="39" t="s">
        <v>173</v>
      </c>
      <c r="V6" s="39" t="s">
        <v>131</v>
      </c>
      <c r="W6" s="39" t="s">
        <v>179</v>
      </c>
      <c r="X6" s="39" t="s">
        <v>164</v>
      </c>
      <c r="Y6" s="39" t="s">
        <v>141</v>
      </c>
      <c r="Z6" s="39" t="s">
        <v>165</v>
      </c>
      <c r="AA6" s="39" t="s">
        <v>47</v>
      </c>
      <c r="AB6" s="31" t="s">
        <v>166</v>
      </c>
      <c r="AC6" s="12"/>
      <c r="AD6" s="29" t="s">
        <v>167</v>
      </c>
    </row>
    <row r="7" spans="1:30" x14ac:dyDescent="0.3">
      <c r="N7" s="38"/>
      <c r="O7" s="17"/>
      <c r="AB7" s="30"/>
      <c r="AC7" s="11"/>
      <c r="AD7" s="28"/>
    </row>
    <row r="8" spans="1:30" x14ac:dyDescent="0.3">
      <c r="A8" s="7">
        <v>1</v>
      </c>
      <c r="B8" s="21" t="s">
        <v>28</v>
      </c>
      <c r="C8" s="21">
        <v>93</v>
      </c>
      <c r="D8" s="21">
        <v>98</v>
      </c>
      <c r="E8" s="21">
        <v>96</v>
      </c>
      <c r="F8" s="22"/>
      <c r="G8" s="21"/>
      <c r="H8" s="21"/>
      <c r="I8" s="14"/>
      <c r="J8" s="14"/>
      <c r="K8" s="26"/>
      <c r="L8" s="21">
        <v>93</v>
      </c>
      <c r="M8" s="21">
        <v>100</v>
      </c>
      <c r="N8" s="21"/>
      <c r="O8" s="21">
        <v>94</v>
      </c>
      <c r="P8" s="21">
        <v>100</v>
      </c>
      <c r="Q8" s="14"/>
      <c r="R8" s="21"/>
      <c r="S8" s="26"/>
      <c r="T8" s="26"/>
      <c r="U8" s="21"/>
      <c r="V8" s="14"/>
      <c r="W8" s="14"/>
      <c r="X8" s="21"/>
      <c r="Y8" s="14"/>
      <c r="Z8" s="21">
        <v>91</v>
      </c>
      <c r="AA8" s="21">
        <v>100</v>
      </c>
      <c r="AB8" s="32">
        <f t="shared" ref="AB8:AB39" si="0">SUM(C8:AA8)</f>
        <v>865</v>
      </c>
      <c r="AC8" s="18"/>
      <c r="AD8" s="13">
        <f t="shared" ref="AD8:AD39" si="1">AVERAGE(C8:AA8)</f>
        <v>96.111111111111114</v>
      </c>
    </row>
    <row r="9" spans="1:30" x14ac:dyDescent="0.3">
      <c r="A9" s="7">
        <v>2</v>
      </c>
      <c r="B9" s="22" t="s">
        <v>125</v>
      </c>
      <c r="C9" s="21">
        <v>95</v>
      </c>
      <c r="D9" s="21">
        <v>97</v>
      </c>
      <c r="E9" s="21">
        <v>88</v>
      </c>
      <c r="F9" s="14"/>
      <c r="G9" s="21"/>
      <c r="H9" s="21">
        <v>91</v>
      </c>
      <c r="I9" s="21"/>
      <c r="J9" s="21"/>
      <c r="K9" s="21"/>
      <c r="L9" s="21">
        <v>90</v>
      </c>
      <c r="M9" s="21">
        <v>91</v>
      </c>
      <c r="N9" s="21"/>
      <c r="O9" s="22"/>
      <c r="P9" s="14"/>
      <c r="Q9" s="22"/>
      <c r="R9" s="21"/>
      <c r="S9" s="14"/>
      <c r="T9" s="14"/>
      <c r="U9" s="14"/>
      <c r="V9" s="21">
        <v>100</v>
      </c>
      <c r="W9" s="21"/>
      <c r="X9" s="22"/>
      <c r="Y9" s="21"/>
      <c r="Z9" s="21">
        <v>85</v>
      </c>
      <c r="AA9" s="21"/>
      <c r="AB9" s="32">
        <f t="shared" si="0"/>
        <v>737</v>
      </c>
      <c r="AC9" s="18"/>
      <c r="AD9" s="13">
        <f t="shared" si="1"/>
        <v>92.125</v>
      </c>
    </row>
    <row r="10" spans="1:30" x14ac:dyDescent="0.3">
      <c r="A10" s="7">
        <v>3</v>
      </c>
      <c r="B10" s="22" t="s">
        <v>12</v>
      </c>
      <c r="C10" s="21">
        <v>86</v>
      </c>
      <c r="D10" s="21">
        <v>100</v>
      </c>
      <c r="E10" s="21"/>
      <c r="F10" s="21">
        <v>89</v>
      </c>
      <c r="G10" s="22"/>
      <c r="H10" s="22"/>
      <c r="I10" s="14"/>
      <c r="J10" s="14"/>
      <c r="K10" s="22"/>
      <c r="L10" s="21">
        <v>91</v>
      </c>
      <c r="M10" s="21">
        <v>99</v>
      </c>
      <c r="N10" s="13"/>
      <c r="O10" s="21"/>
      <c r="P10" s="21">
        <v>90</v>
      </c>
      <c r="Q10" s="21">
        <v>92</v>
      </c>
      <c r="R10" s="22"/>
      <c r="S10" s="14"/>
      <c r="T10" s="13"/>
      <c r="U10" s="21">
        <v>86</v>
      </c>
      <c r="V10" s="14"/>
      <c r="W10" s="14"/>
      <c r="X10" s="21"/>
      <c r="Y10" s="14"/>
      <c r="Z10" s="21">
        <v>91</v>
      </c>
      <c r="AA10" s="21"/>
      <c r="AB10" s="32">
        <f t="shared" si="0"/>
        <v>824</v>
      </c>
      <c r="AC10" s="18"/>
      <c r="AD10" s="13">
        <f t="shared" si="1"/>
        <v>91.555555555555557</v>
      </c>
    </row>
    <row r="11" spans="1:30" x14ac:dyDescent="0.3">
      <c r="A11" s="7">
        <v>4</v>
      </c>
      <c r="B11" s="21" t="s">
        <v>11</v>
      </c>
      <c r="C11" s="21">
        <v>87</v>
      </c>
      <c r="D11" s="21">
        <v>95</v>
      </c>
      <c r="E11" s="21"/>
      <c r="F11" s="21">
        <v>93</v>
      </c>
      <c r="G11" s="22"/>
      <c r="H11" s="14"/>
      <c r="I11" s="14"/>
      <c r="J11" s="14"/>
      <c r="K11" s="22"/>
      <c r="L11" s="21">
        <v>94</v>
      </c>
      <c r="M11" s="21">
        <v>96</v>
      </c>
      <c r="N11" s="23"/>
      <c r="O11" s="21"/>
      <c r="P11" s="21">
        <v>92</v>
      </c>
      <c r="Q11" s="21">
        <v>85</v>
      </c>
      <c r="R11" s="23"/>
      <c r="S11" s="14"/>
      <c r="T11" s="22"/>
      <c r="U11" s="21">
        <v>88</v>
      </c>
      <c r="V11" s="22"/>
      <c r="W11" s="22"/>
      <c r="X11" s="21"/>
      <c r="Y11" s="22"/>
      <c r="Z11" s="21">
        <v>86</v>
      </c>
      <c r="AA11" s="21"/>
      <c r="AB11" s="32">
        <f t="shared" si="0"/>
        <v>816</v>
      </c>
      <c r="AC11" s="18"/>
      <c r="AD11" s="13">
        <f t="shared" si="1"/>
        <v>90.666666666666671</v>
      </c>
    </row>
    <row r="12" spans="1:30" x14ac:dyDescent="0.3">
      <c r="A12" s="7">
        <v>5</v>
      </c>
      <c r="B12" s="22" t="s">
        <v>31</v>
      </c>
      <c r="C12" s="21">
        <v>81</v>
      </c>
      <c r="D12" s="21">
        <v>96</v>
      </c>
      <c r="E12" s="21">
        <v>91</v>
      </c>
      <c r="F12" s="23"/>
      <c r="G12" s="21"/>
      <c r="H12" s="21"/>
      <c r="I12" s="21"/>
      <c r="J12" s="23"/>
      <c r="K12" s="21"/>
      <c r="L12" s="21">
        <v>87</v>
      </c>
      <c r="M12" s="21">
        <v>92</v>
      </c>
      <c r="N12" s="21"/>
      <c r="O12" s="21">
        <v>96</v>
      </c>
      <c r="P12" s="21">
        <v>88</v>
      </c>
      <c r="Q12" s="23"/>
      <c r="R12" s="21"/>
      <c r="S12" s="23"/>
      <c r="T12" s="23"/>
      <c r="U12" s="21"/>
      <c r="V12" s="23"/>
      <c r="W12" s="21"/>
      <c r="X12" s="21"/>
      <c r="Y12" s="23"/>
      <c r="Z12" s="21">
        <v>85</v>
      </c>
      <c r="AA12" s="21">
        <v>96</v>
      </c>
      <c r="AB12" s="32">
        <f t="shared" si="0"/>
        <v>812</v>
      </c>
      <c r="AC12" s="18"/>
      <c r="AD12" s="13">
        <f t="shared" si="1"/>
        <v>90.222222222222229</v>
      </c>
    </row>
    <row r="13" spans="1:30" x14ac:dyDescent="0.3">
      <c r="A13" s="7">
        <v>6</v>
      </c>
      <c r="B13" s="22" t="s">
        <v>49</v>
      </c>
      <c r="C13" s="21">
        <v>87</v>
      </c>
      <c r="D13" s="21">
        <v>92</v>
      </c>
      <c r="E13" s="21">
        <v>92</v>
      </c>
      <c r="F13" s="13"/>
      <c r="G13" s="21"/>
      <c r="H13" s="21"/>
      <c r="I13" s="14"/>
      <c r="J13" s="14"/>
      <c r="K13" s="22"/>
      <c r="L13" s="21">
        <v>90</v>
      </c>
      <c r="M13" s="21">
        <v>93</v>
      </c>
      <c r="N13" s="21"/>
      <c r="O13" s="21"/>
      <c r="P13" s="21"/>
      <c r="Q13" s="14"/>
      <c r="R13" s="21"/>
      <c r="S13" s="13"/>
      <c r="T13" s="22"/>
      <c r="U13" s="21">
        <v>82</v>
      </c>
      <c r="V13" s="21"/>
      <c r="W13" s="14"/>
      <c r="X13" s="21">
        <v>92</v>
      </c>
      <c r="Y13" s="14"/>
      <c r="Z13" s="21">
        <v>87</v>
      </c>
      <c r="AA13" s="21"/>
      <c r="AB13" s="32">
        <f t="shared" si="0"/>
        <v>715</v>
      </c>
      <c r="AC13" s="18"/>
      <c r="AD13" s="13">
        <f t="shared" si="1"/>
        <v>89.375</v>
      </c>
    </row>
    <row r="14" spans="1:30" x14ac:dyDescent="0.3">
      <c r="A14" s="7">
        <v>7</v>
      </c>
      <c r="B14" s="22" t="s">
        <v>29</v>
      </c>
      <c r="C14" s="21">
        <v>84</v>
      </c>
      <c r="D14" s="21">
        <v>99</v>
      </c>
      <c r="E14" s="21">
        <v>88</v>
      </c>
      <c r="F14" s="21"/>
      <c r="G14" s="14"/>
      <c r="H14" s="21"/>
      <c r="I14" s="14"/>
      <c r="J14" s="13"/>
      <c r="K14" s="14"/>
      <c r="L14" s="21">
        <v>85</v>
      </c>
      <c r="M14" s="21">
        <v>92</v>
      </c>
      <c r="N14" s="22"/>
      <c r="O14" s="21">
        <v>89</v>
      </c>
      <c r="P14" s="21">
        <v>84</v>
      </c>
      <c r="Q14" s="13"/>
      <c r="R14" s="22"/>
      <c r="S14" s="21"/>
      <c r="T14" s="21"/>
      <c r="U14" s="21"/>
      <c r="V14" s="13"/>
      <c r="W14" s="13"/>
      <c r="X14" s="21"/>
      <c r="Y14" s="13"/>
      <c r="Z14" s="21">
        <v>88</v>
      </c>
      <c r="AA14" s="21">
        <v>95</v>
      </c>
      <c r="AB14" s="32">
        <f t="shared" si="0"/>
        <v>804</v>
      </c>
      <c r="AC14" s="18"/>
      <c r="AD14" s="13">
        <f t="shared" si="1"/>
        <v>89.333333333333329</v>
      </c>
    </row>
    <row r="15" spans="1:30" x14ac:dyDescent="0.3">
      <c r="A15" s="7">
        <v>8</v>
      </c>
      <c r="B15" s="22" t="s">
        <v>114</v>
      </c>
      <c r="C15" s="21">
        <v>82</v>
      </c>
      <c r="D15" s="21">
        <v>91</v>
      </c>
      <c r="E15" s="14"/>
      <c r="F15" s="21"/>
      <c r="G15" s="21"/>
      <c r="H15" s="21">
        <v>82</v>
      </c>
      <c r="I15" s="14"/>
      <c r="J15" s="21"/>
      <c r="K15" s="14"/>
      <c r="L15" s="21">
        <v>88</v>
      </c>
      <c r="M15" s="21">
        <v>83</v>
      </c>
      <c r="N15" s="21"/>
      <c r="O15" s="22"/>
      <c r="P15" s="14"/>
      <c r="Q15" s="22"/>
      <c r="R15" s="21"/>
      <c r="S15" s="21">
        <v>98</v>
      </c>
      <c r="T15" s="21">
        <v>93</v>
      </c>
      <c r="U15" s="21"/>
      <c r="V15" s="14"/>
      <c r="W15" s="14"/>
      <c r="X15" s="14"/>
      <c r="Y15" s="21"/>
      <c r="Z15" s="14"/>
      <c r="AA15" s="21">
        <v>96</v>
      </c>
      <c r="AB15" s="32">
        <f t="shared" si="0"/>
        <v>713</v>
      </c>
      <c r="AC15" s="18"/>
      <c r="AD15" s="13">
        <f t="shared" si="1"/>
        <v>89.125</v>
      </c>
    </row>
    <row r="16" spans="1:30" x14ac:dyDescent="0.3">
      <c r="A16" s="7">
        <v>8</v>
      </c>
      <c r="B16" s="22" t="s">
        <v>13</v>
      </c>
      <c r="C16" s="21">
        <v>87</v>
      </c>
      <c r="D16" s="21">
        <v>95</v>
      </c>
      <c r="E16" s="21"/>
      <c r="F16" s="21">
        <v>86</v>
      </c>
      <c r="G16" s="21"/>
      <c r="H16" s="21"/>
      <c r="I16" s="14"/>
      <c r="J16" s="14"/>
      <c r="K16" s="13"/>
      <c r="L16" s="21">
        <v>97</v>
      </c>
      <c r="M16" s="21">
        <v>98</v>
      </c>
      <c r="N16" s="21"/>
      <c r="O16" s="14"/>
      <c r="P16" s="21">
        <v>84</v>
      </c>
      <c r="Q16" s="21">
        <v>82</v>
      </c>
      <c r="R16" s="21"/>
      <c r="S16" s="22"/>
      <c r="T16" s="13"/>
      <c r="U16" s="21">
        <v>85</v>
      </c>
      <c r="V16" s="14"/>
      <c r="W16" s="14"/>
      <c r="X16" s="21"/>
      <c r="Y16" s="14"/>
      <c r="Z16" s="21">
        <v>88</v>
      </c>
      <c r="AA16" s="21"/>
      <c r="AB16" s="32">
        <f t="shared" si="0"/>
        <v>802</v>
      </c>
      <c r="AC16" s="18"/>
      <c r="AD16" s="13">
        <f t="shared" si="1"/>
        <v>89.111111111111114</v>
      </c>
    </row>
    <row r="17" spans="1:30" x14ac:dyDescent="0.3">
      <c r="A17" s="7">
        <v>10</v>
      </c>
      <c r="B17" s="22" t="s">
        <v>30</v>
      </c>
      <c r="C17" s="21">
        <v>84</v>
      </c>
      <c r="D17" s="21">
        <v>91</v>
      </c>
      <c r="E17" s="21">
        <v>93</v>
      </c>
      <c r="F17" s="13"/>
      <c r="G17" s="21"/>
      <c r="H17" s="21"/>
      <c r="I17" s="14"/>
      <c r="J17" s="14"/>
      <c r="K17" s="22"/>
      <c r="L17" s="21">
        <v>91</v>
      </c>
      <c r="M17" s="21">
        <v>88</v>
      </c>
      <c r="N17" s="21"/>
      <c r="O17" s="21">
        <v>85</v>
      </c>
      <c r="P17" s="21">
        <v>83</v>
      </c>
      <c r="Q17" s="14"/>
      <c r="R17" s="21"/>
      <c r="S17" s="13"/>
      <c r="T17" s="22"/>
      <c r="U17" s="21"/>
      <c r="V17" s="14"/>
      <c r="W17" s="14"/>
      <c r="X17" s="21"/>
      <c r="Y17" s="14"/>
      <c r="Z17" s="21">
        <v>82</v>
      </c>
      <c r="AA17" s="21">
        <v>94</v>
      </c>
      <c r="AB17" s="32">
        <f t="shared" si="0"/>
        <v>791</v>
      </c>
      <c r="AC17" s="18"/>
      <c r="AD17" s="13">
        <f t="shared" si="1"/>
        <v>87.888888888888886</v>
      </c>
    </row>
    <row r="18" spans="1:30" x14ac:dyDescent="0.3">
      <c r="A18" s="7">
        <v>11</v>
      </c>
      <c r="B18" s="22" t="s">
        <v>126</v>
      </c>
      <c r="C18" s="21">
        <v>76</v>
      </c>
      <c r="D18" s="21">
        <v>99</v>
      </c>
      <c r="E18" s="21">
        <v>84</v>
      </c>
      <c r="F18" s="21"/>
      <c r="G18" s="21"/>
      <c r="H18" s="21">
        <v>98</v>
      </c>
      <c r="I18" s="21"/>
      <c r="J18" s="14"/>
      <c r="K18" s="21"/>
      <c r="L18" s="21">
        <v>80</v>
      </c>
      <c r="M18" s="21">
        <v>86</v>
      </c>
      <c r="N18" s="21"/>
      <c r="O18" s="14"/>
      <c r="P18" s="13"/>
      <c r="Q18" s="14"/>
      <c r="R18" s="21"/>
      <c r="S18" s="13"/>
      <c r="T18" s="13"/>
      <c r="U18" s="21"/>
      <c r="V18" s="21">
        <v>95</v>
      </c>
      <c r="W18" s="21"/>
      <c r="X18" s="14"/>
      <c r="Y18" s="14"/>
      <c r="Z18" s="21">
        <v>79</v>
      </c>
      <c r="AA18" s="21"/>
      <c r="AB18" s="32">
        <f t="shared" si="0"/>
        <v>697</v>
      </c>
      <c r="AC18" s="18"/>
      <c r="AD18" s="13">
        <f t="shared" si="1"/>
        <v>87.125</v>
      </c>
    </row>
    <row r="19" spans="1:30" x14ac:dyDescent="0.3">
      <c r="A19" s="7">
        <v>12</v>
      </c>
      <c r="B19" s="22" t="s">
        <v>50</v>
      </c>
      <c r="C19" s="21">
        <v>86</v>
      </c>
      <c r="D19" s="21">
        <v>90</v>
      </c>
      <c r="E19" s="21">
        <v>86</v>
      </c>
      <c r="F19" s="21"/>
      <c r="G19" s="22"/>
      <c r="H19" s="21"/>
      <c r="I19" s="14"/>
      <c r="J19" s="21"/>
      <c r="K19" s="22"/>
      <c r="L19" s="21">
        <v>79</v>
      </c>
      <c r="M19" s="21">
        <v>85</v>
      </c>
      <c r="N19" s="21"/>
      <c r="O19" s="14"/>
      <c r="P19" s="22"/>
      <c r="Q19" s="22"/>
      <c r="R19" s="14"/>
      <c r="S19" s="21"/>
      <c r="T19" s="21"/>
      <c r="U19" s="21">
        <v>76</v>
      </c>
      <c r="V19" s="14"/>
      <c r="W19" s="14"/>
      <c r="X19" s="21">
        <v>88</v>
      </c>
      <c r="Y19" s="21"/>
      <c r="Z19" s="21">
        <v>84</v>
      </c>
      <c r="AA19" s="21"/>
      <c r="AB19" s="32">
        <f t="shared" si="0"/>
        <v>674</v>
      </c>
      <c r="AC19" s="18"/>
      <c r="AD19" s="13">
        <f t="shared" si="1"/>
        <v>84.25</v>
      </c>
    </row>
    <row r="20" spans="1:30" x14ac:dyDescent="0.3">
      <c r="A20" s="7">
        <v>13</v>
      </c>
      <c r="B20" s="22" t="s">
        <v>14</v>
      </c>
      <c r="C20" s="21">
        <v>93</v>
      </c>
      <c r="D20" s="21">
        <v>96</v>
      </c>
      <c r="E20" s="21"/>
      <c r="F20" s="21">
        <v>81</v>
      </c>
      <c r="G20" s="21"/>
      <c r="H20" s="21"/>
      <c r="I20" s="14"/>
      <c r="J20" s="14"/>
      <c r="K20" s="14"/>
      <c r="L20" s="21">
        <v>86</v>
      </c>
      <c r="M20" s="21">
        <v>85</v>
      </c>
      <c r="N20" s="21"/>
      <c r="O20" s="14"/>
      <c r="P20" s="21">
        <v>75</v>
      </c>
      <c r="Q20" s="21">
        <v>74</v>
      </c>
      <c r="R20" s="21"/>
      <c r="S20" s="21"/>
      <c r="T20" s="21"/>
      <c r="U20" s="21">
        <v>79</v>
      </c>
      <c r="V20" s="21"/>
      <c r="W20" s="14"/>
      <c r="X20" s="14"/>
      <c r="Y20" s="14"/>
      <c r="Z20" s="21">
        <v>83</v>
      </c>
      <c r="AA20" s="21"/>
      <c r="AB20" s="32">
        <f t="shared" si="0"/>
        <v>752</v>
      </c>
      <c r="AC20" s="18"/>
      <c r="AD20" s="13">
        <f t="shared" si="1"/>
        <v>83.555555555555557</v>
      </c>
    </row>
    <row r="21" spans="1:30" x14ac:dyDescent="0.3">
      <c r="A21" s="7">
        <v>14</v>
      </c>
      <c r="B21" s="22" t="s">
        <v>52</v>
      </c>
      <c r="C21" s="21">
        <v>82</v>
      </c>
      <c r="D21" s="21">
        <v>96</v>
      </c>
      <c r="E21" s="21">
        <v>86</v>
      </c>
      <c r="F21" s="21"/>
      <c r="G21" s="13"/>
      <c r="H21" s="21"/>
      <c r="I21" s="14"/>
      <c r="J21" s="14"/>
      <c r="K21" s="22"/>
      <c r="L21" s="21">
        <v>84</v>
      </c>
      <c r="M21" s="21">
        <v>85</v>
      </c>
      <c r="N21" s="22"/>
      <c r="O21" s="14"/>
      <c r="P21" s="13"/>
      <c r="Q21" s="13"/>
      <c r="R21" s="22"/>
      <c r="S21" s="21"/>
      <c r="T21" s="21"/>
      <c r="U21" s="21">
        <v>73</v>
      </c>
      <c r="V21" s="21"/>
      <c r="W21" s="14"/>
      <c r="X21" s="21">
        <v>81</v>
      </c>
      <c r="Y21" s="14"/>
      <c r="Z21" s="21">
        <v>77</v>
      </c>
      <c r="AA21" s="21"/>
      <c r="AB21" s="32">
        <f t="shared" si="0"/>
        <v>664</v>
      </c>
      <c r="AC21" s="18"/>
      <c r="AD21" s="13">
        <f t="shared" si="1"/>
        <v>83</v>
      </c>
    </row>
    <row r="22" spans="1:30" x14ac:dyDescent="0.3">
      <c r="A22" s="7">
        <v>15</v>
      </c>
      <c r="B22" s="22" t="s">
        <v>93</v>
      </c>
      <c r="C22" s="21">
        <v>81</v>
      </c>
      <c r="D22" s="21">
        <v>81</v>
      </c>
      <c r="E22" s="21"/>
      <c r="F22" s="21"/>
      <c r="G22" s="21">
        <v>80</v>
      </c>
      <c r="H22" s="21">
        <v>76</v>
      </c>
      <c r="I22" s="14"/>
      <c r="J22" s="14"/>
      <c r="K22" s="14"/>
      <c r="L22" s="21">
        <v>80</v>
      </c>
      <c r="M22" s="21"/>
      <c r="N22" s="21">
        <v>86</v>
      </c>
      <c r="O22" s="14"/>
      <c r="P22" s="16"/>
      <c r="Q22" s="22"/>
      <c r="R22" s="21">
        <v>92</v>
      </c>
      <c r="S22" s="21"/>
      <c r="T22" s="21"/>
      <c r="U22" s="21"/>
      <c r="V22" s="14"/>
      <c r="W22" s="14"/>
      <c r="X22" s="21"/>
      <c r="Y22" s="14"/>
      <c r="Z22" s="21"/>
      <c r="AA22" s="21">
        <v>82</v>
      </c>
      <c r="AB22" s="32">
        <f t="shared" si="0"/>
        <v>658</v>
      </c>
      <c r="AC22" s="18"/>
      <c r="AD22" s="13">
        <f t="shared" si="1"/>
        <v>82.25</v>
      </c>
    </row>
    <row r="23" spans="1:30" x14ac:dyDescent="0.3">
      <c r="A23" s="7">
        <v>16</v>
      </c>
      <c r="B23" s="22" t="s">
        <v>129</v>
      </c>
      <c r="C23" s="21">
        <v>76</v>
      </c>
      <c r="D23" s="21">
        <v>97</v>
      </c>
      <c r="E23" s="21">
        <v>84</v>
      </c>
      <c r="F23" s="21"/>
      <c r="G23" s="21"/>
      <c r="H23" s="21">
        <v>78</v>
      </c>
      <c r="I23" s="14"/>
      <c r="J23" s="22"/>
      <c r="K23" s="14"/>
      <c r="L23" s="21">
        <v>78</v>
      </c>
      <c r="M23" s="21">
        <v>77</v>
      </c>
      <c r="N23" s="21"/>
      <c r="O23" s="22"/>
      <c r="P23" s="14"/>
      <c r="Q23" s="14"/>
      <c r="R23" s="21"/>
      <c r="S23" s="14"/>
      <c r="T23" s="14"/>
      <c r="U23" s="21"/>
      <c r="V23" s="21">
        <v>90</v>
      </c>
      <c r="W23" s="22"/>
      <c r="X23" s="21"/>
      <c r="Y23" s="22"/>
      <c r="Z23" s="21">
        <v>72</v>
      </c>
      <c r="AA23" s="21"/>
      <c r="AB23" s="32">
        <f t="shared" si="0"/>
        <v>652</v>
      </c>
      <c r="AC23" s="18"/>
      <c r="AD23" s="13">
        <f t="shared" si="1"/>
        <v>81.5</v>
      </c>
    </row>
    <row r="24" spans="1:30" x14ac:dyDescent="0.3">
      <c r="A24" s="7">
        <v>17</v>
      </c>
      <c r="B24" s="22" t="s">
        <v>15</v>
      </c>
      <c r="C24" s="21">
        <v>82</v>
      </c>
      <c r="D24" s="21">
        <v>95</v>
      </c>
      <c r="E24" s="21"/>
      <c r="F24" s="21">
        <v>74</v>
      </c>
      <c r="G24" s="23"/>
      <c r="H24" s="21"/>
      <c r="I24" s="23"/>
      <c r="J24" s="23"/>
      <c r="K24" s="23"/>
      <c r="L24" s="21">
        <v>85</v>
      </c>
      <c r="M24" s="21">
        <v>81</v>
      </c>
      <c r="N24" s="23"/>
      <c r="O24" s="21"/>
      <c r="P24" s="21">
        <v>83</v>
      </c>
      <c r="Q24" s="21">
        <v>77</v>
      </c>
      <c r="R24" s="23"/>
      <c r="S24" s="23"/>
      <c r="T24" s="23"/>
      <c r="U24" s="21">
        <v>81</v>
      </c>
      <c r="V24" s="21"/>
      <c r="W24" s="21"/>
      <c r="X24" s="23"/>
      <c r="Y24" s="23"/>
      <c r="Z24" s="21">
        <v>75</v>
      </c>
      <c r="AA24" s="21"/>
      <c r="AB24" s="32">
        <f t="shared" si="0"/>
        <v>733</v>
      </c>
      <c r="AC24" s="18"/>
      <c r="AD24" s="13">
        <f t="shared" si="1"/>
        <v>81.444444444444443</v>
      </c>
    </row>
    <row r="25" spans="1:30" x14ac:dyDescent="0.3">
      <c r="A25" s="7">
        <v>18</v>
      </c>
      <c r="B25" s="22" t="s">
        <v>65</v>
      </c>
      <c r="C25" s="21">
        <v>71</v>
      </c>
      <c r="D25" s="21">
        <v>93</v>
      </c>
      <c r="E25" s="21"/>
      <c r="F25" s="21">
        <v>84</v>
      </c>
      <c r="G25" s="23"/>
      <c r="H25" s="21">
        <v>82</v>
      </c>
      <c r="I25" s="23"/>
      <c r="J25" s="23"/>
      <c r="K25" s="23"/>
      <c r="L25" s="21">
        <v>75</v>
      </c>
      <c r="M25" s="21">
        <v>75</v>
      </c>
      <c r="N25" s="23"/>
      <c r="O25" s="21"/>
      <c r="P25" s="21"/>
      <c r="Q25" s="23"/>
      <c r="R25" s="23"/>
      <c r="S25" s="23"/>
      <c r="T25" s="23"/>
      <c r="U25" s="21">
        <v>83</v>
      </c>
      <c r="V25" s="21"/>
      <c r="W25" s="21"/>
      <c r="X25" s="21"/>
      <c r="Y25" s="23"/>
      <c r="Z25" s="21"/>
      <c r="AA25" s="21">
        <v>86</v>
      </c>
      <c r="AB25" s="32">
        <f t="shared" si="0"/>
        <v>649</v>
      </c>
      <c r="AC25" s="18"/>
      <c r="AD25" s="13">
        <f t="shared" si="1"/>
        <v>81.125</v>
      </c>
    </row>
    <row r="26" spans="1:30" x14ac:dyDescent="0.3">
      <c r="A26" s="7">
        <v>19</v>
      </c>
      <c r="B26" s="22" t="s">
        <v>86</v>
      </c>
      <c r="C26" s="21">
        <v>76</v>
      </c>
      <c r="D26" s="21">
        <v>85</v>
      </c>
      <c r="E26" s="23"/>
      <c r="F26" s="21"/>
      <c r="G26" s="21">
        <v>82</v>
      </c>
      <c r="H26" s="21">
        <v>74</v>
      </c>
      <c r="I26" s="21"/>
      <c r="J26" s="21"/>
      <c r="K26" s="21"/>
      <c r="L26" s="21">
        <v>72</v>
      </c>
      <c r="M26" s="21"/>
      <c r="N26" s="21">
        <v>88</v>
      </c>
      <c r="O26" s="23"/>
      <c r="P26" s="23"/>
      <c r="Q26" s="23"/>
      <c r="R26" s="21">
        <v>88</v>
      </c>
      <c r="S26" s="23"/>
      <c r="T26" s="23"/>
      <c r="U26" s="21"/>
      <c r="V26" s="23"/>
      <c r="W26" s="21"/>
      <c r="X26" s="23"/>
      <c r="Y26" s="21"/>
      <c r="Z26" s="23"/>
      <c r="AA26" s="21">
        <v>83</v>
      </c>
      <c r="AB26" s="32">
        <f t="shared" si="0"/>
        <v>648</v>
      </c>
      <c r="AC26" s="18"/>
      <c r="AD26" s="13">
        <f t="shared" si="1"/>
        <v>81</v>
      </c>
    </row>
    <row r="27" spans="1:30" x14ac:dyDescent="0.3">
      <c r="A27" s="7">
        <v>20</v>
      </c>
      <c r="B27" s="22" t="s">
        <v>33</v>
      </c>
      <c r="C27" s="21">
        <v>82</v>
      </c>
      <c r="D27" s="21">
        <v>88</v>
      </c>
      <c r="E27" s="21">
        <v>82</v>
      </c>
      <c r="F27" s="21"/>
      <c r="G27" s="13"/>
      <c r="H27" s="22"/>
      <c r="I27" s="14"/>
      <c r="J27" s="22"/>
      <c r="K27" s="14"/>
      <c r="L27" s="21">
        <v>83</v>
      </c>
      <c r="M27" s="21">
        <v>86</v>
      </c>
      <c r="N27" s="14"/>
      <c r="O27" s="21">
        <v>80</v>
      </c>
      <c r="P27" s="21">
        <v>58</v>
      </c>
      <c r="Q27" s="21"/>
      <c r="R27" s="14"/>
      <c r="S27" s="13"/>
      <c r="T27" s="13"/>
      <c r="U27" s="21"/>
      <c r="V27" s="22"/>
      <c r="W27" s="22"/>
      <c r="X27" s="22"/>
      <c r="Y27" s="22"/>
      <c r="Z27" s="21">
        <v>72</v>
      </c>
      <c r="AA27" s="21">
        <v>88</v>
      </c>
      <c r="AB27" s="32">
        <f t="shared" si="0"/>
        <v>719</v>
      </c>
      <c r="AC27" s="18"/>
      <c r="AD27" s="13">
        <f t="shared" si="1"/>
        <v>79.888888888888886</v>
      </c>
    </row>
    <row r="28" spans="1:30" x14ac:dyDescent="0.3">
      <c r="A28" s="7">
        <v>21</v>
      </c>
      <c r="B28" s="22" t="s">
        <v>16</v>
      </c>
      <c r="C28" s="21">
        <v>91</v>
      </c>
      <c r="D28" s="21">
        <v>96</v>
      </c>
      <c r="E28" s="21"/>
      <c r="F28" s="21">
        <v>80</v>
      </c>
      <c r="G28" s="14"/>
      <c r="H28" s="22"/>
      <c r="I28" s="14"/>
      <c r="J28" s="14"/>
      <c r="K28" s="14"/>
      <c r="L28" s="21">
        <v>85</v>
      </c>
      <c r="M28" s="21">
        <v>77</v>
      </c>
      <c r="N28" s="14"/>
      <c r="O28" s="21"/>
      <c r="P28" s="21">
        <v>65</v>
      </c>
      <c r="Q28" s="21">
        <v>81</v>
      </c>
      <c r="R28" s="14"/>
      <c r="S28" s="14"/>
      <c r="T28" s="14"/>
      <c r="U28" s="21">
        <v>72</v>
      </c>
      <c r="V28" s="14"/>
      <c r="W28" s="14"/>
      <c r="X28" s="21"/>
      <c r="Y28" s="14"/>
      <c r="Z28" s="21">
        <v>68</v>
      </c>
      <c r="AA28" s="21"/>
      <c r="AB28" s="32">
        <f t="shared" si="0"/>
        <v>715</v>
      </c>
      <c r="AC28" s="18"/>
      <c r="AD28" s="13">
        <f t="shared" si="1"/>
        <v>79.444444444444443</v>
      </c>
    </row>
    <row r="29" spans="1:30" x14ac:dyDescent="0.3">
      <c r="A29" s="7">
        <v>22</v>
      </c>
      <c r="B29" s="22" t="s">
        <v>153</v>
      </c>
      <c r="C29" s="21">
        <v>65</v>
      </c>
      <c r="D29" s="21">
        <v>85</v>
      </c>
      <c r="E29" s="14"/>
      <c r="F29" s="21"/>
      <c r="G29" s="21"/>
      <c r="H29" s="21"/>
      <c r="I29" s="21">
        <v>92</v>
      </c>
      <c r="J29" s="22"/>
      <c r="K29" s="21">
        <v>82</v>
      </c>
      <c r="L29" s="21">
        <v>69</v>
      </c>
      <c r="M29" s="21"/>
      <c r="N29" s="21">
        <v>91</v>
      </c>
      <c r="O29" s="22"/>
      <c r="P29" s="22"/>
      <c r="Q29" s="22"/>
      <c r="R29" s="21"/>
      <c r="S29" s="21"/>
      <c r="T29" s="21"/>
      <c r="U29" s="21"/>
      <c r="V29" s="22"/>
      <c r="W29" s="21">
        <v>82</v>
      </c>
      <c r="X29" s="22"/>
      <c r="Y29" s="22"/>
      <c r="Z29" s="22"/>
      <c r="AA29" s="21">
        <v>68</v>
      </c>
      <c r="AB29" s="32">
        <f t="shared" si="0"/>
        <v>634</v>
      </c>
      <c r="AC29" s="18"/>
      <c r="AD29" s="13">
        <f t="shared" si="1"/>
        <v>79.25</v>
      </c>
    </row>
    <row r="30" spans="1:30" x14ac:dyDescent="0.3">
      <c r="A30" s="7">
        <v>23</v>
      </c>
      <c r="B30" s="22" t="s">
        <v>53</v>
      </c>
      <c r="C30" s="21">
        <v>76</v>
      </c>
      <c r="D30" s="21">
        <v>88</v>
      </c>
      <c r="E30" s="21">
        <v>82</v>
      </c>
      <c r="F30" s="21"/>
      <c r="G30" s="23"/>
      <c r="H30" s="21"/>
      <c r="I30" s="23"/>
      <c r="J30" s="23"/>
      <c r="K30" s="23"/>
      <c r="L30" s="21">
        <v>79</v>
      </c>
      <c r="M30" s="21">
        <v>80</v>
      </c>
      <c r="N30" s="23"/>
      <c r="O30" s="23"/>
      <c r="P30" s="21"/>
      <c r="Q30" s="21"/>
      <c r="R30" s="23"/>
      <c r="S30" s="23"/>
      <c r="T30" s="23"/>
      <c r="U30" s="21">
        <v>73</v>
      </c>
      <c r="V30" s="21"/>
      <c r="W30" s="21"/>
      <c r="X30" s="21">
        <v>82</v>
      </c>
      <c r="Y30" s="23"/>
      <c r="Z30" s="21">
        <v>73</v>
      </c>
      <c r="AA30" s="23"/>
      <c r="AB30" s="32">
        <f t="shared" si="0"/>
        <v>633</v>
      </c>
      <c r="AC30" s="18"/>
      <c r="AD30" s="13">
        <f t="shared" si="1"/>
        <v>79.125</v>
      </c>
    </row>
    <row r="31" spans="1:30" x14ac:dyDescent="0.3">
      <c r="A31" s="7">
        <v>24</v>
      </c>
      <c r="B31" s="22" t="s">
        <v>55</v>
      </c>
      <c r="C31" s="21">
        <v>69</v>
      </c>
      <c r="D31" s="21">
        <v>86</v>
      </c>
      <c r="E31" s="21">
        <v>80</v>
      </c>
      <c r="F31" s="21"/>
      <c r="G31" s="22"/>
      <c r="H31" s="21"/>
      <c r="I31" s="14"/>
      <c r="J31" s="14"/>
      <c r="K31" s="22"/>
      <c r="L31" s="21">
        <v>80</v>
      </c>
      <c r="M31" s="21">
        <v>83</v>
      </c>
      <c r="N31" s="23"/>
      <c r="O31" s="21"/>
      <c r="P31" s="21"/>
      <c r="Q31" s="21"/>
      <c r="R31" s="23"/>
      <c r="S31" s="22"/>
      <c r="T31" s="22"/>
      <c r="U31" s="21">
        <v>71</v>
      </c>
      <c r="V31" s="14"/>
      <c r="W31" s="14"/>
      <c r="X31" s="21">
        <v>82</v>
      </c>
      <c r="Y31" s="14"/>
      <c r="Z31" s="21">
        <v>79</v>
      </c>
      <c r="AA31" s="21"/>
      <c r="AB31" s="32">
        <f t="shared" si="0"/>
        <v>630</v>
      </c>
      <c r="AC31" s="18"/>
      <c r="AD31" s="13">
        <f t="shared" si="1"/>
        <v>78.75</v>
      </c>
    </row>
    <row r="32" spans="1:30" x14ac:dyDescent="0.3">
      <c r="A32" s="7">
        <v>25</v>
      </c>
      <c r="B32" s="22" t="s">
        <v>54</v>
      </c>
      <c r="C32" s="21">
        <v>69</v>
      </c>
      <c r="D32" s="21">
        <v>89</v>
      </c>
      <c r="E32" s="21">
        <v>86</v>
      </c>
      <c r="F32" s="21"/>
      <c r="G32" s="14"/>
      <c r="H32" s="21"/>
      <c r="I32" s="14"/>
      <c r="J32" s="22"/>
      <c r="K32" s="14"/>
      <c r="L32" s="21">
        <v>62</v>
      </c>
      <c r="M32" s="21">
        <v>85</v>
      </c>
      <c r="N32" s="22"/>
      <c r="O32" s="21"/>
      <c r="P32" s="21"/>
      <c r="Q32" s="22"/>
      <c r="R32" s="22"/>
      <c r="S32" s="14"/>
      <c r="T32" s="14"/>
      <c r="U32" s="21">
        <v>72</v>
      </c>
      <c r="V32" s="22"/>
      <c r="W32" s="22"/>
      <c r="X32" s="21">
        <v>80</v>
      </c>
      <c r="Y32" s="22"/>
      <c r="Z32" s="21">
        <v>82</v>
      </c>
      <c r="AA32" s="21"/>
      <c r="AB32" s="32">
        <f t="shared" si="0"/>
        <v>625</v>
      </c>
      <c r="AC32" s="18"/>
      <c r="AD32" s="13">
        <f t="shared" si="1"/>
        <v>78.125</v>
      </c>
    </row>
    <row r="33" spans="1:30" x14ac:dyDescent="0.3">
      <c r="A33" s="7">
        <v>26</v>
      </c>
      <c r="B33" s="22" t="s">
        <v>146</v>
      </c>
      <c r="C33" s="21">
        <v>58</v>
      </c>
      <c r="D33" s="21">
        <v>85</v>
      </c>
      <c r="E33" s="23"/>
      <c r="F33" s="23"/>
      <c r="G33" s="23"/>
      <c r="H33" s="23"/>
      <c r="I33" s="21">
        <v>86</v>
      </c>
      <c r="J33" s="21"/>
      <c r="K33" s="21">
        <v>84</v>
      </c>
      <c r="L33" s="21">
        <v>74</v>
      </c>
      <c r="M33" s="23"/>
      <c r="N33" s="21">
        <v>93</v>
      </c>
      <c r="O33" s="23"/>
      <c r="P33" s="23"/>
      <c r="Q33" s="23"/>
      <c r="R33" s="23"/>
      <c r="S33" s="23"/>
      <c r="T33" s="23"/>
      <c r="U33" s="23"/>
      <c r="V33" s="23"/>
      <c r="W33" s="21">
        <v>80</v>
      </c>
      <c r="X33" s="23"/>
      <c r="Y33" s="21"/>
      <c r="Z33" s="23"/>
      <c r="AA33" s="21">
        <v>65</v>
      </c>
      <c r="AB33" s="32">
        <f t="shared" si="0"/>
        <v>625</v>
      </c>
      <c r="AC33" s="18"/>
      <c r="AD33" s="13">
        <f t="shared" si="1"/>
        <v>78.125</v>
      </c>
    </row>
    <row r="34" spans="1:30" x14ac:dyDescent="0.3">
      <c r="A34" s="7">
        <v>27</v>
      </c>
      <c r="B34" s="22" t="s">
        <v>138</v>
      </c>
      <c r="C34" s="21">
        <v>62</v>
      </c>
      <c r="D34" s="21">
        <v>82</v>
      </c>
      <c r="E34" s="14"/>
      <c r="F34" s="23"/>
      <c r="G34" s="23"/>
      <c r="H34" s="21"/>
      <c r="I34" s="21"/>
      <c r="J34" s="21">
        <v>77</v>
      </c>
      <c r="K34" s="21"/>
      <c r="L34" s="21">
        <v>59</v>
      </c>
      <c r="M34" s="21"/>
      <c r="N34" s="21">
        <v>95</v>
      </c>
      <c r="O34" s="23"/>
      <c r="P34" s="23"/>
      <c r="Q34" s="23"/>
      <c r="R34" s="14"/>
      <c r="S34" s="21"/>
      <c r="T34" s="21"/>
      <c r="U34" s="23"/>
      <c r="V34" s="22"/>
      <c r="W34" s="21"/>
      <c r="X34" s="22"/>
      <c r="Y34" s="21">
        <v>86</v>
      </c>
      <c r="Z34" s="22"/>
      <c r="AA34" s="21">
        <v>83</v>
      </c>
      <c r="AB34" s="32">
        <f t="shared" si="0"/>
        <v>544</v>
      </c>
      <c r="AC34" s="18"/>
      <c r="AD34" s="13">
        <f t="shared" si="1"/>
        <v>77.714285714285708</v>
      </c>
    </row>
    <row r="35" spans="1:30" x14ac:dyDescent="0.3">
      <c r="A35" s="7">
        <v>28</v>
      </c>
      <c r="B35" s="22" t="s">
        <v>136</v>
      </c>
      <c r="C35" s="21">
        <v>42</v>
      </c>
      <c r="D35" s="21">
        <v>89</v>
      </c>
      <c r="E35" s="23"/>
      <c r="F35" s="23"/>
      <c r="G35" s="23"/>
      <c r="H35" s="21"/>
      <c r="I35" s="21"/>
      <c r="J35" s="21">
        <v>78</v>
      </c>
      <c r="K35" s="21"/>
      <c r="L35" s="21">
        <v>75</v>
      </c>
      <c r="M35" s="21"/>
      <c r="N35" s="21">
        <v>84</v>
      </c>
      <c r="O35" s="23"/>
      <c r="P35" s="23"/>
      <c r="Q35" s="23"/>
      <c r="R35" s="23"/>
      <c r="S35" s="21"/>
      <c r="T35" s="21"/>
      <c r="U35" s="23"/>
      <c r="V35" s="23"/>
      <c r="W35" s="21"/>
      <c r="X35" s="23"/>
      <c r="Y35" s="21">
        <v>90</v>
      </c>
      <c r="Z35" s="23"/>
      <c r="AA35" s="21">
        <v>86</v>
      </c>
      <c r="AB35" s="32">
        <f t="shared" si="0"/>
        <v>544</v>
      </c>
      <c r="AC35" s="18"/>
      <c r="AD35" s="13">
        <f t="shared" si="1"/>
        <v>77.714285714285708</v>
      </c>
    </row>
    <row r="36" spans="1:30" x14ac:dyDescent="0.3">
      <c r="A36" s="7">
        <v>29</v>
      </c>
      <c r="B36" s="22" t="s">
        <v>128</v>
      </c>
      <c r="C36" s="21">
        <v>60</v>
      </c>
      <c r="D36" s="21">
        <v>92</v>
      </c>
      <c r="E36" s="21">
        <v>78</v>
      </c>
      <c r="F36" s="21"/>
      <c r="G36" s="22"/>
      <c r="H36" s="21">
        <v>80</v>
      </c>
      <c r="I36" s="14"/>
      <c r="J36" s="14"/>
      <c r="K36" s="22"/>
      <c r="L36" s="21">
        <v>70</v>
      </c>
      <c r="M36" s="21">
        <v>83</v>
      </c>
      <c r="N36" s="13"/>
      <c r="O36" s="21"/>
      <c r="P36" s="21"/>
      <c r="Q36" s="13"/>
      <c r="R36" s="13"/>
      <c r="S36" s="21"/>
      <c r="T36" s="21"/>
      <c r="U36" s="21"/>
      <c r="V36" s="21">
        <v>87</v>
      </c>
      <c r="W36" s="14"/>
      <c r="X36" s="14"/>
      <c r="Y36" s="14"/>
      <c r="Z36" s="21">
        <v>69</v>
      </c>
      <c r="AA36" s="21"/>
      <c r="AB36" s="32">
        <f t="shared" si="0"/>
        <v>619</v>
      </c>
      <c r="AC36" s="18"/>
      <c r="AD36" s="13">
        <f t="shared" si="1"/>
        <v>77.375</v>
      </c>
    </row>
    <row r="37" spans="1:30" x14ac:dyDescent="0.3">
      <c r="A37" s="7">
        <v>30</v>
      </c>
      <c r="B37" s="22" t="s">
        <v>157</v>
      </c>
      <c r="C37" s="21">
        <v>72</v>
      </c>
      <c r="D37" s="21">
        <v>83</v>
      </c>
      <c r="E37" s="23"/>
      <c r="F37" s="23"/>
      <c r="G37" s="21"/>
      <c r="H37" s="21"/>
      <c r="I37" s="21">
        <v>76</v>
      </c>
      <c r="J37" s="23"/>
      <c r="K37" s="21">
        <v>87</v>
      </c>
      <c r="L37" s="21">
        <v>62</v>
      </c>
      <c r="M37" s="21"/>
      <c r="N37" s="21">
        <v>89</v>
      </c>
      <c r="O37" s="23"/>
      <c r="P37" s="23"/>
      <c r="Q37" s="23"/>
      <c r="R37" s="21"/>
      <c r="S37" s="21"/>
      <c r="T37" s="21"/>
      <c r="U37" s="23"/>
      <c r="V37" s="23"/>
      <c r="W37" s="21">
        <v>75</v>
      </c>
      <c r="X37" s="23"/>
      <c r="Y37" s="23"/>
      <c r="Z37" s="23"/>
      <c r="AA37" s="21">
        <v>75</v>
      </c>
      <c r="AB37" s="32">
        <f t="shared" si="0"/>
        <v>619</v>
      </c>
      <c r="AC37" s="18"/>
      <c r="AD37" s="13">
        <f t="shared" si="1"/>
        <v>77.375</v>
      </c>
    </row>
    <row r="38" spans="1:30" x14ac:dyDescent="0.3">
      <c r="A38" s="7">
        <v>31</v>
      </c>
      <c r="B38" s="22" t="s">
        <v>127</v>
      </c>
      <c r="C38" s="21">
        <v>65</v>
      </c>
      <c r="D38" s="21">
        <v>92</v>
      </c>
      <c r="E38" s="21">
        <v>76</v>
      </c>
      <c r="F38" s="21"/>
      <c r="G38" s="23"/>
      <c r="H38" s="21">
        <v>77</v>
      </c>
      <c r="I38" s="23"/>
      <c r="J38" s="23"/>
      <c r="K38" s="23"/>
      <c r="L38" s="21">
        <v>75</v>
      </c>
      <c r="M38" s="21">
        <v>77</v>
      </c>
      <c r="N38" s="23"/>
      <c r="O38" s="21"/>
      <c r="P38" s="21"/>
      <c r="Q38" s="23"/>
      <c r="R38" s="23"/>
      <c r="S38" s="23"/>
      <c r="T38" s="23"/>
      <c r="U38" s="21"/>
      <c r="V38" s="21">
        <v>88</v>
      </c>
      <c r="W38" s="21"/>
      <c r="X38" s="23"/>
      <c r="Y38" s="23"/>
      <c r="Z38" s="21">
        <v>66</v>
      </c>
      <c r="AA38" s="21"/>
      <c r="AB38" s="32">
        <f t="shared" si="0"/>
        <v>616</v>
      </c>
      <c r="AC38" s="18"/>
      <c r="AD38" s="13">
        <f t="shared" si="1"/>
        <v>77</v>
      </c>
    </row>
    <row r="39" spans="1:30" x14ac:dyDescent="0.3">
      <c r="A39" s="7">
        <v>32</v>
      </c>
      <c r="B39" s="22" t="s">
        <v>130</v>
      </c>
      <c r="C39" s="21">
        <v>59</v>
      </c>
      <c r="D39" s="21">
        <v>88</v>
      </c>
      <c r="E39" s="21">
        <v>77</v>
      </c>
      <c r="F39" s="21"/>
      <c r="G39" s="14"/>
      <c r="H39" s="21">
        <v>75</v>
      </c>
      <c r="I39" s="14"/>
      <c r="J39" s="22"/>
      <c r="K39" s="14"/>
      <c r="L39" s="21">
        <v>78</v>
      </c>
      <c r="M39" s="21">
        <v>82</v>
      </c>
      <c r="N39" s="22"/>
      <c r="O39" s="23"/>
      <c r="P39" s="21"/>
      <c r="Q39" s="21"/>
      <c r="R39" s="22"/>
      <c r="S39" s="22"/>
      <c r="T39" s="14"/>
      <c r="U39" s="21"/>
      <c r="V39" s="21">
        <v>82</v>
      </c>
      <c r="W39" s="22"/>
      <c r="X39" s="21"/>
      <c r="Y39" s="22"/>
      <c r="Z39" s="21">
        <v>62</v>
      </c>
      <c r="AA39" s="21"/>
      <c r="AB39" s="32">
        <f t="shared" si="0"/>
        <v>603</v>
      </c>
      <c r="AC39" s="18"/>
      <c r="AD39" s="13">
        <f t="shared" si="1"/>
        <v>75.375</v>
      </c>
    </row>
    <row r="40" spans="1:30" x14ac:dyDescent="0.3">
      <c r="A40" s="7">
        <v>33</v>
      </c>
      <c r="B40" s="22" t="s">
        <v>18</v>
      </c>
      <c r="C40" s="21">
        <v>80</v>
      </c>
      <c r="D40" s="21">
        <v>86</v>
      </c>
      <c r="E40" s="21"/>
      <c r="F40" s="21">
        <v>72</v>
      </c>
      <c r="G40" s="14"/>
      <c r="H40" s="14"/>
      <c r="I40" s="14"/>
      <c r="J40" s="14"/>
      <c r="K40" s="14"/>
      <c r="L40" s="21">
        <v>83</v>
      </c>
      <c r="M40" s="21">
        <v>82</v>
      </c>
      <c r="N40" s="14"/>
      <c r="O40" s="21"/>
      <c r="P40" s="21">
        <v>70</v>
      </c>
      <c r="Q40" s="21">
        <v>65</v>
      </c>
      <c r="R40" s="14"/>
      <c r="S40" s="14"/>
      <c r="T40" s="14"/>
      <c r="U40" s="21">
        <v>75</v>
      </c>
      <c r="V40" s="14"/>
      <c r="W40" s="14"/>
      <c r="X40" s="21"/>
      <c r="Y40" s="14"/>
      <c r="Z40" s="21">
        <v>65</v>
      </c>
      <c r="AA40" s="21"/>
      <c r="AB40" s="32">
        <f t="shared" ref="AB40:AB71" si="2">SUM(C40:AA40)</f>
        <v>678</v>
      </c>
      <c r="AC40" s="18"/>
      <c r="AD40" s="13">
        <f t="shared" ref="AD40:AD71" si="3">AVERAGE(C40:AA40)</f>
        <v>75.333333333333329</v>
      </c>
    </row>
    <row r="41" spans="1:30" x14ac:dyDescent="0.3">
      <c r="A41" s="7">
        <v>34</v>
      </c>
      <c r="B41" s="22" t="s">
        <v>143</v>
      </c>
      <c r="C41" s="21">
        <v>65</v>
      </c>
      <c r="D41" s="21">
        <v>88</v>
      </c>
      <c r="E41" s="21"/>
      <c r="F41" s="21"/>
      <c r="G41" s="21"/>
      <c r="H41" s="21"/>
      <c r="I41" s="21">
        <v>40</v>
      </c>
      <c r="J41" s="14"/>
      <c r="K41" s="21">
        <v>83</v>
      </c>
      <c r="L41" s="21">
        <v>76</v>
      </c>
      <c r="M41" s="21"/>
      <c r="N41" s="21">
        <v>92</v>
      </c>
      <c r="O41" s="14"/>
      <c r="P41" s="22"/>
      <c r="Q41" s="13"/>
      <c r="R41" s="21"/>
      <c r="S41" s="13"/>
      <c r="T41" s="22"/>
      <c r="U41" s="21"/>
      <c r="V41" s="14"/>
      <c r="W41" s="21">
        <v>83</v>
      </c>
      <c r="X41" s="21"/>
      <c r="Y41" s="14"/>
      <c r="Z41" s="21"/>
      <c r="AA41" s="21">
        <v>72</v>
      </c>
      <c r="AB41" s="32">
        <f t="shared" si="2"/>
        <v>599</v>
      </c>
      <c r="AC41" s="18"/>
      <c r="AD41" s="13">
        <f t="shared" si="3"/>
        <v>74.875</v>
      </c>
    </row>
    <row r="42" spans="1:30" x14ac:dyDescent="0.3">
      <c r="A42" s="7">
        <v>35</v>
      </c>
      <c r="B42" s="22" t="s">
        <v>17</v>
      </c>
      <c r="C42" s="21">
        <v>79</v>
      </c>
      <c r="D42" s="21">
        <v>86</v>
      </c>
      <c r="E42" s="21"/>
      <c r="F42" s="21">
        <v>60</v>
      </c>
      <c r="G42" s="21"/>
      <c r="H42" s="21"/>
      <c r="I42" s="14"/>
      <c r="J42" s="14"/>
      <c r="K42" s="22"/>
      <c r="L42" s="21">
        <v>75</v>
      </c>
      <c r="M42" s="21">
        <v>85</v>
      </c>
      <c r="N42" s="21"/>
      <c r="O42" s="21"/>
      <c r="P42" s="21">
        <v>72</v>
      </c>
      <c r="Q42" s="21">
        <v>69</v>
      </c>
      <c r="R42" s="21"/>
      <c r="S42" s="22"/>
      <c r="T42" s="13"/>
      <c r="U42" s="21">
        <v>72</v>
      </c>
      <c r="V42" s="14"/>
      <c r="W42" s="14"/>
      <c r="X42" s="21"/>
      <c r="Y42" s="14"/>
      <c r="Z42" s="21">
        <v>72</v>
      </c>
      <c r="AA42" s="21"/>
      <c r="AB42" s="32">
        <f t="shared" si="2"/>
        <v>670</v>
      </c>
      <c r="AC42" s="18"/>
      <c r="AD42" s="13">
        <f t="shared" si="3"/>
        <v>74.444444444444443</v>
      </c>
    </row>
    <row r="43" spans="1:30" x14ac:dyDescent="0.3">
      <c r="A43" s="7">
        <v>36</v>
      </c>
      <c r="B43" s="22" t="s">
        <v>51</v>
      </c>
      <c r="C43" s="21">
        <v>58</v>
      </c>
      <c r="D43" s="21">
        <v>92</v>
      </c>
      <c r="E43" s="21">
        <v>76</v>
      </c>
      <c r="F43" s="23"/>
      <c r="G43" s="21"/>
      <c r="H43" s="21"/>
      <c r="I43" s="14"/>
      <c r="J43" s="14"/>
      <c r="K43" s="22"/>
      <c r="L43" s="21">
        <v>69</v>
      </c>
      <c r="M43" s="21">
        <v>84</v>
      </c>
      <c r="N43" s="21"/>
      <c r="O43" s="21"/>
      <c r="P43" s="21"/>
      <c r="Q43" s="23"/>
      <c r="R43" s="21"/>
      <c r="S43" s="14"/>
      <c r="T43" s="23"/>
      <c r="U43" s="21">
        <v>62</v>
      </c>
      <c r="V43" s="14"/>
      <c r="W43" s="14"/>
      <c r="X43" s="21">
        <v>75</v>
      </c>
      <c r="Y43" s="14"/>
      <c r="Z43" s="21">
        <v>75</v>
      </c>
      <c r="AA43" s="21"/>
      <c r="AB43" s="32">
        <f t="shared" si="2"/>
        <v>591</v>
      </c>
      <c r="AC43" s="18"/>
      <c r="AD43" s="13">
        <f t="shared" si="3"/>
        <v>73.875</v>
      </c>
    </row>
    <row r="44" spans="1:30" x14ac:dyDescent="0.3">
      <c r="A44" s="7">
        <v>37</v>
      </c>
      <c r="B44" s="22" t="s">
        <v>101</v>
      </c>
      <c r="C44" s="21">
        <v>28</v>
      </c>
      <c r="D44" s="21">
        <v>84</v>
      </c>
      <c r="E44" s="21"/>
      <c r="F44" s="21"/>
      <c r="G44" s="21">
        <v>88</v>
      </c>
      <c r="H44" s="21">
        <v>76</v>
      </c>
      <c r="I44" s="14"/>
      <c r="J44" s="14"/>
      <c r="K44" s="14"/>
      <c r="L44" s="21">
        <v>53</v>
      </c>
      <c r="M44" s="21"/>
      <c r="N44" s="21">
        <v>84</v>
      </c>
      <c r="O44" s="21"/>
      <c r="P44" s="21"/>
      <c r="Q44" s="21"/>
      <c r="R44" s="21">
        <v>83</v>
      </c>
      <c r="S44" s="14"/>
      <c r="T44" s="14"/>
      <c r="U44" s="21"/>
      <c r="V44" s="14"/>
      <c r="W44" s="14"/>
      <c r="X44" s="14"/>
      <c r="Y44" s="14"/>
      <c r="Z44" s="21"/>
      <c r="AA44" s="21">
        <v>81</v>
      </c>
      <c r="AB44" s="32">
        <f t="shared" si="2"/>
        <v>577</v>
      </c>
      <c r="AC44" s="18"/>
      <c r="AD44" s="13">
        <f t="shared" si="3"/>
        <v>72.125</v>
      </c>
    </row>
    <row r="45" spans="1:30" x14ac:dyDescent="0.3">
      <c r="A45" s="7">
        <v>38</v>
      </c>
      <c r="B45" s="22" t="s">
        <v>32</v>
      </c>
      <c r="C45" s="21">
        <v>69</v>
      </c>
      <c r="D45" s="21">
        <v>77</v>
      </c>
      <c r="E45" s="21">
        <v>80</v>
      </c>
      <c r="F45" s="23"/>
      <c r="G45" s="22"/>
      <c r="H45" s="21"/>
      <c r="I45" s="14"/>
      <c r="J45" s="14"/>
      <c r="K45" s="22"/>
      <c r="L45" s="21">
        <v>69</v>
      </c>
      <c r="M45" s="21">
        <v>69</v>
      </c>
      <c r="N45" s="23"/>
      <c r="O45" s="21">
        <v>70</v>
      </c>
      <c r="P45" s="21">
        <v>62</v>
      </c>
      <c r="Q45" s="14"/>
      <c r="R45" s="22"/>
      <c r="S45" s="22"/>
      <c r="T45" s="23"/>
      <c r="U45" s="21"/>
      <c r="V45" s="21"/>
      <c r="W45" s="14"/>
      <c r="X45" s="21"/>
      <c r="Y45" s="14"/>
      <c r="Z45" s="21">
        <v>65</v>
      </c>
      <c r="AA45" s="21">
        <v>77</v>
      </c>
      <c r="AB45" s="32">
        <f t="shared" si="2"/>
        <v>638</v>
      </c>
      <c r="AC45" s="18"/>
      <c r="AD45" s="13">
        <f t="shared" si="3"/>
        <v>70.888888888888886</v>
      </c>
    </row>
    <row r="46" spans="1:30" x14ac:dyDescent="0.3">
      <c r="A46" s="7">
        <v>39</v>
      </c>
      <c r="B46" s="22" t="s">
        <v>43</v>
      </c>
      <c r="C46" s="21">
        <v>65</v>
      </c>
      <c r="D46" s="21">
        <v>90</v>
      </c>
      <c r="E46" s="21">
        <v>54</v>
      </c>
      <c r="F46" s="21"/>
      <c r="G46" s="23"/>
      <c r="H46" s="21"/>
      <c r="I46" s="14"/>
      <c r="J46" s="22"/>
      <c r="K46" s="14"/>
      <c r="L46" s="21">
        <v>69</v>
      </c>
      <c r="M46" s="21">
        <v>58</v>
      </c>
      <c r="N46" s="14"/>
      <c r="O46" s="21">
        <v>77</v>
      </c>
      <c r="P46" s="21">
        <v>65</v>
      </c>
      <c r="Q46" s="21"/>
      <c r="R46" s="14"/>
      <c r="S46" s="22"/>
      <c r="T46" s="23"/>
      <c r="U46" s="21"/>
      <c r="V46" s="22"/>
      <c r="W46" s="22"/>
      <c r="X46" s="22"/>
      <c r="Y46" s="22"/>
      <c r="Z46" s="21">
        <v>69</v>
      </c>
      <c r="AA46" s="21">
        <v>86</v>
      </c>
      <c r="AB46" s="32">
        <f t="shared" si="2"/>
        <v>633</v>
      </c>
      <c r="AC46" s="18"/>
      <c r="AD46" s="13">
        <f t="shared" si="3"/>
        <v>70.333333333333329</v>
      </c>
    </row>
    <row r="47" spans="1:30" x14ac:dyDescent="0.3">
      <c r="A47" s="7">
        <v>40</v>
      </c>
      <c r="B47" s="22" t="s">
        <v>61</v>
      </c>
      <c r="C47" s="21">
        <v>83</v>
      </c>
      <c r="D47" s="21">
        <v>85</v>
      </c>
      <c r="E47" s="21">
        <v>68</v>
      </c>
      <c r="F47" s="21"/>
      <c r="G47" s="14"/>
      <c r="H47" s="14"/>
      <c r="I47" s="14"/>
      <c r="J47" s="14"/>
      <c r="K47" s="14"/>
      <c r="L47" s="21">
        <v>65</v>
      </c>
      <c r="M47" s="21">
        <v>65</v>
      </c>
      <c r="N47" s="14"/>
      <c r="O47" s="21"/>
      <c r="P47" s="21"/>
      <c r="Q47" s="21"/>
      <c r="R47" s="14"/>
      <c r="S47" s="14"/>
      <c r="T47" s="14"/>
      <c r="U47" s="21">
        <v>58</v>
      </c>
      <c r="V47" s="14"/>
      <c r="W47" s="14"/>
      <c r="X47" s="21">
        <v>65</v>
      </c>
      <c r="Y47" s="14"/>
      <c r="Z47" s="21">
        <v>66</v>
      </c>
      <c r="AA47" s="21"/>
      <c r="AB47" s="32">
        <f t="shared" si="2"/>
        <v>555</v>
      </c>
      <c r="AC47" s="18"/>
      <c r="AD47" s="13">
        <f t="shared" si="3"/>
        <v>69.375</v>
      </c>
    </row>
    <row r="48" spans="1:30" x14ac:dyDescent="0.3">
      <c r="A48" s="7">
        <v>41</v>
      </c>
      <c r="B48" s="22" t="s">
        <v>64</v>
      </c>
      <c r="C48" s="21">
        <v>65</v>
      </c>
      <c r="D48" s="21">
        <v>83</v>
      </c>
      <c r="E48" s="21"/>
      <c r="F48" s="21">
        <v>69</v>
      </c>
      <c r="G48" s="21"/>
      <c r="H48" s="21">
        <v>75</v>
      </c>
      <c r="I48" s="14"/>
      <c r="J48" s="14"/>
      <c r="K48" s="14"/>
      <c r="L48" s="21">
        <v>81</v>
      </c>
      <c r="M48" s="21">
        <v>38</v>
      </c>
      <c r="N48" s="21"/>
      <c r="O48" s="21"/>
      <c r="P48" s="21"/>
      <c r="Q48" s="14"/>
      <c r="R48" s="21"/>
      <c r="S48" s="14"/>
      <c r="T48" s="14"/>
      <c r="U48" s="21">
        <v>58</v>
      </c>
      <c r="V48" s="21"/>
      <c r="W48" s="14"/>
      <c r="X48" s="14"/>
      <c r="Y48" s="14"/>
      <c r="Z48" s="21"/>
      <c r="AA48" s="21">
        <v>80</v>
      </c>
      <c r="AB48" s="32">
        <f t="shared" si="2"/>
        <v>549</v>
      </c>
      <c r="AC48" s="18"/>
      <c r="AD48" s="13">
        <f t="shared" si="3"/>
        <v>68.625</v>
      </c>
    </row>
    <row r="49" spans="1:30" x14ac:dyDescent="0.3">
      <c r="A49" s="7">
        <v>42</v>
      </c>
      <c r="B49" s="22" t="s">
        <v>40</v>
      </c>
      <c r="C49" s="21">
        <v>62</v>
      </c>
      <c r="D49" s="21">
        <v>89</v>
      </c>
      <c r="E49" s="21">
        <v>62</v>
      </c>
      <c r="F49" s="21"/>
      <c r="G49" s="23"/>
      <c r="H49" s="22"/>
      <c r="I49" s="14"/>
      <c r="J49" s="14"/>
      <c r="K49" s="23"/>
      <c r="L49" s="21">
        <v>71</v>
      </c>
      <c r="M49" s="21">
        <v>51</v>
      </c>
      <c r="N49" s="23"/>
      <c r="O49" s="21">
        <v>62</v>
      </c>
      <c r="P49" s="21">
        <v>70</v>
      </c>
      <c r="Q49" s="21"/>
      <c r="R49" s="23"/>
      <c r="S49" s="22"/>
      <c r="T49" s="23"/>
      <c r="U49" s="21"/>
      <c r="V49" s="14"/>
      <c r="W49" s="14"/>
      <c r="X49" s="14"/>
      <c r="Y49" s="14"/>
      <c r="Z49" s="21">
        <v>65</v>
      </c>
      <c r="AA49" s="21">
        <v>75</v>
      </c>
      <c r="AB49" s="32">
        <f t="shared" si="2"/>
        <v>607</v>
      </c>
      <c r="AC49" s="18"/>
      <c r="AD49" s="13">
        <f t="shared" si="3"/>
        <v>67.444444444444443</v>
      </c>
    </row>
    <row r="50" spans="1:30" x14ac:dyDescent="0.3">
      <c r="A50" s="7">
        <v>43</v>
      </c>
      <c r="B50" s="21" t="s">
        <v>36</v>
      </c>
      <c r="C50" s="21">
        <v>71</v>
      </c>
      <c r="D50" s="21">
        <v>80</v>
      </c>
      <c r="E50" s="21">
        <v>69</v>
      </c>
      <c r="F50" s="21"/>
      <c r="G50" s="23"/>
      <c r="H50" s="23"/>
      <c r="I50" s="14"/>
      <c r="J50" s="14"/>
      <c r="K50" s="23"/>
      <c r="L50" s="21">
        <v>58</v>
      </c>
      <c r="M50" s="21">
        <v>70</v>
      </c>
      <c r="N50" s="23"/>
      <c r="O50" s="21">
        <v>65</v>
      </c>
      <c r="P50" s="21">
        <v>52</v>
      </c>
      <c r="Q50" s="21"/>
      <c r="R50" s="23"/>
      <c r="S50" s="22"/>
      <c r="T50" s="23"/>
      <c r="U50" s="21"/>
      <c r="V50" s="14"/>
      <c r="W50" s="14"/>
      <c r="X50" s="14"/>
      <c r="Y50" s="14"/>
      <c r="Z50" s="21">
        <v>69</v>
      </c>
      <c r="AA50" s="21">
        <v>69</v>
      </c>
      <c r="AB50" s="32">
        <f t="shared" si="2"/>
        <v>603</v>
      </c>
      <c r="AC50" s="18"/>
      <c r="AD50" s="13">
        <f t="shared" si="3"/>
        <v>67</v>
      </c>
    </row>
    <row r="51" spans="1:30" x14ac:dyDescent="0.3">
      <c r="A51" s="7">
        <v>44</v>
      </c>
      <c r="B51" s="22" t="s">
        <v>88</v>
      </c>
      <c r="C51" s="21">
        <v>72</v>
      </c>
      <c r="D51" s="21">
        <v>80</v>
      </c>
      <c r="E51" s="23"/>
      <c r="F51" s="21"/>
      <c r="G51" s="21">
        <v>68</v>
      </c>
      <c r="H51" s="21">
        <v>60</v>
      </c>
      <c r="I51" s="21"/>
      <c r="J51" s="21"/>
      <c r="K51" s="21"/>
      <c r="L51" s="21">
        <v>70</v>
      </c>
      <c r="M51" s="21"/>
      <c r="N51" s="21">
        <v>75</v>
      </c>
      <c r="O51" s="23"/>
      <c r="P51" s="23"/>
      <c r="Q51" s="23"/>
      <c r="R51" s="21">
        <v>54</v>
      </c>
      <c r="S51" s="23"/>
      <c r="T51" s="23"/>
      <c r="U51" s="21"/>
      <c r="V51" s="23"/>
      <c r="W51" s="21"/>
      <c r="X51" s="23"/>
      <c r="Y51" s="21"/>
      <c r="Z51" s="23"/>
      <c r="AA51" s="21">
        <v>55</v>
      </c>
      <c r="AB51" s="32">
        <f t="shared" si="2"/>
        <v>534</v>
      </c>
      <c r="AC51" s="18"/>
      <c r="AD51" s="13">
        <f t="shared" si="3"/>
        <v>66.75</v>
      </c>
    </row>
    <row r="52" spans="1:30" x14ac:dyDescent="0.3">
      <c r="A52" s="7">
        <v>45</v>
      </c>
      <c r="B52" s="22" t="s">
        <v>60</v>
      </c>
      <c r="C52" s="21">
        <v>73</v>
      </c>
      <c r="D52" s="21">
        <v>77</v>
      </c>
      <c r="E52" s="21">
        <v>75</v>
      </c>
      <c r="F52" s="23"/>
      <c r="G52" s="21"/>
      <c r="H52" s="21"/>
      <c r="I52" s="21"/>
      <c r="J52" s="23"/>
      <c r="K52" s="21"/>
      <c r="L52" s="21">
        <v>62</v>
      </c>
      <c r="M52" s="21">
        <v>65</v>
      </c>
      <c r="N52" s="21"/>
      <c r="O52" s="23"/>
      <c r="P52" s="23"/>
      <c r="Q52" s="23"/>
      <c r="R52" s="21"/>
      <c r="S52" s="23"/>
      <c r="T52" s="23"/>
      <c r="U52" s="21">
        <v>54</v>
      </c>
      <c r="V52" s="23"/>
      <c r="W52" s="21"/>
      <c r="X52" s="21">
        <v>58</v>
      </c>
      <c r="Y52" s="23"/>
      <c r="Z52" s="21">
        <v>69</v>
      </c>
      <c r="AA52" s="21"/>
      <c r="AB52" s="32">
        <f t="shared" si="2"/>
        <v>533</v>
      </c>
      <c r="AC52" s="18"/>
      <c r="AD52" s="13">
        <f t="shared" si="3"/>
        <v>66.625</v>
      </c>
    </row>
    <row r="53" spans="1:30" x14ac:dyDescent="0.3">
      <c r="A53" s="7">
        <v>46</v>
      </c>
      <c r="B53" s="22" t="s">
        <v>41</v>
      </c>
      <c r="C53" s="21">
        <v>67</v>
      </c>
      <c r="D53" s="21">
        <v>78</v>
      </c>
      <c r="E53" s="21">
        <v>55</v>
      </c>
      <c r="F53" s="21"/>
      <c r="G53" s="21"/>
      <c r="H53" s="21"/>
      <c r="I53" s="14"/>
      <c r="J53" s="14"/>
      <c r="K53" s="23"/>
      <c r="L53" s="21">
        <v>58</v>
      </c>
      <c r="M53" s="21">
        <v>66</v>
      </c>
      <c r="N53" s="21"/>
      <c r="O53" s="21">
        <v>77</v>
      </c>
      <c r="P53" s="21">
        <v>54</v>
      </c>
      <c r="Q53" s="22"/>
      <c r="R53" s="21"/>
      <c r="S53" s="22"/>
      <c r="T53" s="23"/>
      <c r="U53" s="21"/>
      <c r="V53" s="21"/>
      <c r="W53" s="14"/>
      <c r="X53" s="14"/>
      <c r="Y53" s="14"/>
      <c r="Z53" s="21">
        <v>65</v>
      </c>
      <c r="AA53" s="21">
        <v>71</v>
      </c>
      <c r="AB53" s="32">
        <f t="shared" si="2"/>
        <v>591</v>
      </c>
      <c r="AC53" s="18"/>
      <c r="AD53" s="13">
        <f t="shared" si="3"/>
        <v>65.666666666666671</v>
      </c>
    </row>
    <row r="54" spans="1:30" x14ac:dyDescent="0.3">
      <c r="A54" s="7">
        <v>47</v>
      </c>
      <c r="B54" s="22" t="s">
        <v>57</v>
      </c>
      <c r="C54" s="21">
        <v>65</v>
      </c>
      <c r="D54" s="21">
        <v>75</v>
      </c>
      <c r="E54" s="21">
        <v>71</v>
      </c>
      <c r="F54" s="21"/>
      <c r="G54" s="21"/>
      <c r="H54" s="21"/>
      <c r="I54" s="21"/>
      <c r="J54" s="22"/>
      <c r="K54" s="21"/>
      <c r="L54" s="21">
        <v>62</v>
      </c>
      <c r="M54" s="21">
        <v>62</v>
      </c>
      <c r="N54" s="21"/>
      <c r="O54" s="22"/>
      <c r="P54" s="14"/>
      <c r="Q54" s="22"/>
      <c r="R54" s="21"/>
      <c r="S54" s="14"/>
      <c r="T54" s="14"/>
      <c r="U54" s="21">
        <v>54</v>
      </c>
      <c r="V54" s="22"/>
      <c r="W54" s="21"/>
      <c r="X54" s="21">
        <v>65</v>
      </c>
      <c r="Y54" s="22"/>
      <c r="Z54" s="21">
        <v>69</v>
      </c>
      <c r="AA54" s="21"/>
      <c r="AB54" s="32">
        <f t="shared" si="2"/>
        <v>523</v>
      </c>
      <c r="AC54" s="18"/>
      <c r="AD54" s="13">
        <f t="shared" si="3"/>
        <v>65.375</v>
      </c>
    </row>
    <row r="55" spans="1:30" x14ac:dyDescent="0.3">
      <c r="A55" s="7">
        <v>48</v>
      </c>
      <c r="B55" s="22" t="s">
        <v>83</v>
      </c>
      <c r="C55" s="21">
        <v>65</v>
      </c>
      <c r="D55" s="21">
        <v>86</v>
      </c>
      <c r="E55" s="22"/>
      <c r="F55" s="23"/>
      <c r="G55" s="21">
        <v>80</v>
      </c>
      <c r="H55" s="21">
        <v>65</v>
      </c>
      <c r="I55" s="14"/>
      <c r="J55" s="22"/>
      <c r="K55" s="14"/>
      <c r="L55" s="21">
        <v>50</v>
      </c>
      <c r="M55" s="21"/>
      <c r="N55" s="21">
        <v>57</v>
      </c>
      <c r="O55" s="23"/>
      <c r="P55" s="14"/>
      <c r="Q55" s="23"/>
      <c r="R55" s="21">
        <v>57</v>
      </c>
      <c r="S55" s="21"/>
      <c r="T55" s="21"/>
      <c r="U55" s="14"/>
      <c r="V55" s="22"/>
      <c r="W55" s="22"/>
      <c r="X55" s="22"/>
      <c r="Y55" s="22"/>
      <c r="Z55" s="22"/>
      <c r="AA55" s="21">
        <v>62</v>
      </c>
      <c r="AB55" s="32">
        <f t="shared" si="2"/>
        <v>522</v>
      </c>
      <c r="AC55" s="18"/>
      <c r="AD55" s="13">
        <f t="shared" si="3"/>
        <v>65.25</v>
      </c>
    </row>
    <row r="56" spans="1:30" x14ac:dyDescent="0.3">
      <c r="A56" s="7">
        <v>49</v>
      </c>
      <c r="B56" s="22" t="s">
        <v>117</v>
      </c>
      <c r="C56" s="21">
        <v>40</v>
      </c>
      <c r="D56" s="21">
        <v>85</v>
      </c>
      <c r="E56" s="14"/>
      <c r="F56" s="22"/>
      <c r="G56" s="21"/>
      <c r="H56" s="21">
        <v>68</v>
      </c>
      <c r="I56" s="14"/>
      <c r="J56" s="21"/>
      <c r="K56" s="14"/>
      <c r="L56" s="21">
        <v>39</v>
      </c>
      <c r="M56" s="21">
        <v>55</v>
      </c>
      <c r="N56" s="21"/>
      <c r="O56" s="22"/>
      <c r="P56" s="14"/>
      <c r="Q56" s="22"/>
      <c r="R56" s="21"/>
      <c r="S56" s="21">
        <v>83</v>
      </c>
      <c r="T56" s="21">
        <v>82</v>
      </c>
      <c r="U56" s="14"/>
      <c r="V56" s="14"/>
      <c r="W56" s="14"/>
      <c r="X56" s="14"/>
      <c r="Y56" s="21"/>
      <c r="Z56" s="14"/>
      <c r="AA56" s="21">
        <v>69</v>
      </c>
      <c r="AB56" s="32">
        <f t="shared" si="2"/>
        <v>521</v>
      </c>
      <c r="AC56" s="18"/>
      <c r="AD56" s="13">
        <f t="shared" si="3"/>
        <v>65.125</v>
      </c>
    </row>
    <row r="57" spans="1:30" x14ac:dyDescent="0.3">
      <c r="A57" s="7">
        <v>50</v>
      </c>
      <c r="B57" s="22" t="s">
        <v>151</v>
      </c>
      <c r="C57" s="21">
        <v>37</v>
      </c>
      <c r="D57" s="21">
        <v>85</v>
      </c>
      <c r="E57" s="23"/>
      <c r="F57" s="23"/>
      <c r="G57" s="23"/>
      <c r="H57" s="23"/>
      <c r="I57" s="21">
        <v>75</v>
      </c>
      <c r="J57" s="21"/>
      <c r="K57" s="21">
        <v>68</v>
      </c>
      <c r="L57" s="21">
        <v>40</v>
      </c>
      <c r="M57" s="23"/>
      <c r="N57" s="21">
        <v>55</v>
      </c>
      <c r="O57" s="23"/>
      <c r="P57" s="23"/>
      <c r="Q57" s="23"/>
      <c r="R57" s="23"/>
      <c r="S57" s="23"/>
      <c r="T57" s="23"/>
      <c r="U57" s="23"/>
      <c r="V57" s="23"/>
      <c r="W57" s="21">
        <v>75</v>
      </c>
      <c r="X57" s="23"/>
      <c r="Y57" s="21"/>
      <c r="Z57" s="23"/>
      <c r="AA57" s="21">
        <v>85</v>
      </c>
      <c r="AB57" s="32">
        <f t="shared" si="2"/>
        <v>520</v>
      </c>
      <c r="AC57" s="18"/>
      <c r="AD57" s="13">
        <f t="shared" si="3"/>
        <v>65</v>
      </c>
    </row>
    <row r="58" spans="1:30" x14ac:dyDescent="0.3">
      <c r="A58" s="7">
        <v>51</v>
      </c>
      <c r="B58" s="22" t="s">
        <v>42</v>
      </c>
      <c r="C58" s="21">
        <v>59</v>
      </c>
      <c r="D58" s="21">
        <v>86</v>
      </c>
      <c r="E58" s="21">
        <v>69</v>
      </c>
      <c r="F58" s="21"/>
      <c r="G58" s="13"/>
      <c r="H58" s="21"/>
      <c r="I58" s="14"/>
      <c r="J58" s="14"/>
      <c r="K58" s="22"/>
      <c r="L58" s="21">
        <v>65</v>
      </c>
      <c r="M58" s="21">
        <v>62</v>
      </c>
      <c r="N58" s="22"/>
      <c r="O58" s="21">
        <v>52</v>
      </c>
      <c r="P58" s="21">
        <v>58</v>
      </c>
      <c r="Q58" s="17"/>
      <c r="R58" s="22"/>
      <c r="S58" s="22"/>
      <c r="T58" s="17"/>
      <c r="U58" s="21"/>
      <c r="V58" s="14"/>
      <c r="W58" s="14"/>
      <c r="X58" s="21"/>
      <c r="Y58" s="14"/>
      <c r="Z58" s="21">
        <v>58</v>
      </c>
      <c r="AA58" s="21">
        <v>75</v>
      </c>
      <c r="AB58" s="32">
        <f t="shared" si="2"/>
        <v>584</v>
      </c>
      <c r="AC58" s="18"/>
      <c r="AD58" s="13">
        <f t="shared" si="3"/>
        <v>64.888888888888886</v>
      </c>
    </row>
    <row r="59" spans="1:30" x14ac:dyDescent="0.3">
      <c r="A59" s="7">
        <v>52</v>
      </c>
      <c r="B59" s="22" t="s">
        <v>37</v>
      </c>
      <c r="C59" s="21">
        <v>62</v>
      </c>
      <c r="D59" s="21">
        <v>84</v>
      </c>
      <c r="E59" s="21">
        <v>75</v>
      </c>
      <c r="F59" s="23"/>
      <c r="G59" s="23"/>
      <c r="H59" s="21"/>
      <c r="I59" s="23"/>
      <c r="J59" s="23"/>
      <c r="K59" s="23"/>
      <c r="L59" s="21">
        <v>55</v>
      </c>
      <c r="M59" s="21">
        <v>54</v>
      </c>
      <c r="N59" s="23"/>
      <c r="O59" s="21">
        <v>54</v>
      </c>
      <c r="P59" s="21">
        <v>65</v>
      </c>
      <c r="Q59" s="23"/>
      <c r="R59" s="23"/>
      <c r="S59" s="23"/>
      <c r="T59" s="23"/>
      <c r="U59" s="21"/>
      <c r="V59" s="21"/>
      <c r="W59" s="21"/>
      <c r="X59" s="21"/>
      <c r="Y59" s="23"/>
      <c r="Z59" s="21">
        <v>65</v>
      </c>
      <c r="AA59" s="21">
        <v>69</v>
      </c>
      <c r="AB59" s="32">
        <f t="shared" si="2"/>
        <v>583</v>
      </c>
      <c r="AC59" s="18"/>
      <c r="AD59" s="13">
        <f t="shared" si="3"/>
        <v>64.777777777777771</v>
      </c>
    </row>
    <row r="60" spans="1:30" x14ac:dyDescent="0.3">
      <c r="A60" s="7">
        <v>53</v>
      </c>
      <c r="B60" s="22" t="s">
        <v>145</v>
      </c>
      <c r="C60" s="21">
        <v>44</v>
      </c>
      <c r="D60" s="21">
        <v>74</v>
      </c>
      <c r="E60" s="21"/>
      <c r="F60" s="21"/>
      <c r="G60" s="21"/>
      <c r="H60" s="21"/>
      <c r="I60" s="21">
        <v>65</v>
      </c>
      <c r="J60" s="14"/>
      <c r="K60" s="21">
        <v>85</v>
      </c>
      <c r="L60" s="21">
        <v>58</v>
      </c>
      <c r="M60" s="21"/>
      <c r="N60" s="21">
        <v>54</v>
      </c>
      <c r="O60" s="14"/>
      <c r="P60" s="16"/>
      <c r="Q60" s="22"/>
      <c r="R60" s="21"/>
      <c r="S60" s="16"/>
      <c r="T60" s="16"/>
      <c r="U60" s="21"/>
      <c r="V60" s="14"/>
      <c r="W60" s="21">
        <v>65</v>
      </c>
      <c r="X60" s="21"/>
      <c r="Y60" s="14"/>
      <c r="Z60" s="21"/>
      <c r="AA60" s="21">
        <v>69</v>
      </c>
      <c r="AB60" s="32">
        <f t="shared" si="2"/>
        <v>514</v>
      </c>
      <c r="AC60" s="18"/>
      <c r="AD60" s="13">
        <f t="shared" si="3"/>
        <v>64.25</v>
      </c>
    </row>
    <row r="61" spans="1:30" x14ac:dyDescent="0.3">
      <c r="A61" s="7">
        <v>54</v>
      </c>
      <c r="B61" s="22" t="s">
        <v>87</v>
      </c>
      <c r="C61" s="21">
        <v>44</v>
      </c>
      <c r="D61" s="21">
        <v>89</v>
      </c>
      <c r="E61" s="21"/>
      <c r="F61" s="21"/>
      <c r="G61" s="21">
        <v>47</v>
      </c>
      <c r="H61" s="21">
        <v>54</v>
      </c>
      <c r="I61" s="14"/>
      <c r="J61" s="14"/>
      <c r="K61" s="22"/>
      <c r="L61" s="21">
        <v>54</v>
      </c>
      <c r="M61" s="21"/>
      <c r="N61" s="21">
        <v>60</v>
      </c>
      <c r="O61" s="13"/>
      <c r="P61" s="13"/>
      <c r="Q61" s="13"/>
      <c r="R61" s="21">
        <v>90</v>
      </c>
      <c r="S61" s="14"/>
      <c r="T61" s="13"/>
      <c r="U61" s="21"/>
      <c r="V61" s="14"/>
      <c r="W61" s="14"/>
      <c r="X61" s="21"/>
      <c r="Y61" s="14"/>
      <c r="Z61" s="21"/>
      <c r="AA61" s="21">
        <v>71</v>
      </c>
      <c r="AB61" s="32">
        <f t="shared" si="2"/>
        <v>509</v>
      </c>
      <c r="AC61" s="18"/>
      <c r="AD61" s="13">
        <f t="shared" si="3"/>
        <v>63.625</v>
      </c>
    </row>
    <row r="62" spans="1:30" x14ac:dyDescent="0.3">
      <c r="A62" s="7">
        <v>55</v>
      </c>
      <c r="B62" s="22" t="s">
        <v>39</v>
      </c>
      <c r="C62" s="21">
        <v>59</v>
      </c>
      <c r="D62" s="21">
        <v>79</v>
      </c>
      <c r="E62" s="21">
        <v>55</v>
      </c>
      <c r="F62" s="21"/>
      <c r="G62" s="22"/>
      <c r="H62" s="21"/>
      <c r="I62" s="14"/>
      <c r="J62" s="13"/>
      <c r="K62" s="14"/>
      <c r="L62" s="21">
        <v>62</v>
      </c>
      <c r="M62" s="21">
        <v>69</v>
      </c>
      <c r="N62" s="14"/>
      <c r="O62" s="21">
        <v>58</v>
      </c>
      <c r="P62" s="21">
        <v>62</v>
      </c>
      <c r="Q62" s="13"/>
      <c r="R62" s="14"/>
      <c r="S62" s="21"/>
      <c r="T62" s="21"/>
      <c r="U62" s="21"/>
      <c r="V62" s="21"/>
      <c r="W62" s="13"/>
      <c r="X62" s="13"/>
      <c r="Y62" s="13"/>
      <c r="Z62" s="21">
        <v>55</v>
      </c>
      <c r="AA62" s="21">
        <v>69</v>
      </c>
      <c r="AB62" s="32">
        <f t="shared" si="2"/>
        <v>568</v>
      </c>
      <c r="AC62" s="18"/>
      <c r="AD62" s="13">
        <f t="shared" si="3"/>
        <v>63.111111111111114</v>
      </c>
    </row>
    <row r="63" spans="1:30" x14ac:dyDescent="0.3">
      <c r="A63" s="7">
        <v>56</v>
      </c>
      <c r="B63" s="22" t="s">
        <v>34</v>
      </c>
      <c r="C63" s="21">
        <v>53</v>
      </c>
      <c r="D63" s="21">
        <v>75</v>
      </c>
      <c r="E63" s="21">
        <v>62</v>
      </c>
      <c r="F63" s="21"/>
      <c r="G63" s="22"/>
      <c r="H63" s="21"/>
      <c r="I63" s="14"/>
      <c r="J63" s="14"/>
      <c r="K63" s="22"/>
      <c r="L63" s="21">
        <v>58</v>
      </c>
      <c r="M63" s="21">
        <v>58</v>
      </c>
      <c r="N63" s="23"/>
      <c r="O63" s="21">
        <v>62</v>
      </c>
      <c r="P63" s="21">
        <v>58</v>
      </c>
      <c r="Q63" s="23"/>
      <c r="R63" s="23"/>
      <c r="S63" s="14"/>
      <c r="T63" s="22"/>
      <c r="U63" s="21"/>
      <c r="V63" s="14"/>
      <c r="W63" s="14"/>
      <c r="X63" s="21"/>
      <c r="Y63" s="14"/>
      <c r="Z63" s="21">
        <v>69</v>
      </c>
      <c r="AA63" s="21">
        <v>72</v>
      </c>
      <c r="AB63" s="32">
        <f t="shared" si="2"/>
        <v>567</v>
      </c>
      <c r="AC63" s="18"/>
      <c r="AD63" s="13">
        <f t="shared" si="3"/>
        <v>63</v>
      </c>
    </row>
    <row r="64" spans="1:30" x14ac:dyDescent="0.3">
      <c r="A64" s="7">
        <v>57</v>
      </c>
      <c r="B64" s="22" t="s">
        <v>113</v>
      </c>
      <c r="C64" s="21">
        <v>24</v>
      </c>
      <c r="D64" s="21">
        <v>80</v>
      </c>
      <c r="E64" s="21"/>
      <c r="F64" s="21"/>
      <c r="G64" s="23"/>
      <c r="H64" s="21">
        <v>55</v>
      </c>
      <c r="I64" s="21"/>
      <c r="J64" s="23"/>
      <c r="K64" s="21"/>
      <c r="L64" s="21">
        <v>39</v>
      </c>
      <c r="M64" s="21">
        <v>45</v>
      </c>
      <c r="N64" s="21"/>
      <c r="O64" s="21"/>
      <c r="P64" s="21"/>
      <c r="Q64" s="23"/>
      <c r="R64" s="23"/>
      <c r="S64" s="21">
        <v>89</v>
      </c>
      <c r="T64" s="21">
        <v>82</v>
      </c>
      <c r="U64" s="21"/>
      <c r="V64" s="23"/>
      <c r="W64" s="21"/>
      <c r="X64" s="23"/>
      <c r="Y64" s="23"/>
      <c r="Z64" s="21"/>
      <c r="AA64" s="21">
        <v>82</v>
      </c>
      <c r="AB64" s="32">
        <f t="shared" si="2"/>
        <v>496</v>
      </c>
      <c r="AC64" s="18"/>
      <c r="AD64" s="13">
        <f t="shared" si="3"/>
        <v>62</v>
      </c>
    </row>
    <row r="65" spans="1:30" x14ac:dyDescent="0.3">
      <c r="A65" s="7">
        <v>58</v>
      </c>
      <c r="B65" s="22" t="s">
        <v>134</v>
      </c>
      <c r="C65" s="21">
        <v>45</v>
      </c>
      <c r="D65" s="21">
        <v>68</v>
      </c>
      <c r="E65" s="14"/>
      <c r="F65" s="21"/>
      <c r="G65" s="21"/>
      <c r="H65" s="21"/>
      <c r="I65" s="14"/>
      <c r="J65" s="21">
        <v>72</v>
      </c>
      <c r="K65" s="23"/>
      <c r="L65" s="21">
        <v>55</v>
      </c>
      <c r="M65" s="21"/>
      <c r="N65" s="21">
        <v>72</v>
      </c>
      <c r="O65" s="14"/>
      <c r="P65" s="23"/>
      <c r="Q65" s="14"/>
      <c r="R65" s="21"/>
      <c r="S65" s="22"/>
      <c r="T65" s="23"/>
      <c r="U65" s="21"/>
      <c r="V65" s="14"/>
      <c r="W65" s="14"/>
      <c r="X65" s="14"/>
      <c r="Y65" s="21">
        <v>54</v>
      </c>
      <c r="Z65" s="14"/>
      <c r="AA65" s="21">
        <v>62</v>
      </c>
      <c r="AB65" s="32">
        <f t="shared" si="2"/>
        <v>428</v>
      </c>
      <c r="AC65" s="18"/>
      <c r="AD65" s="13">
        <f t="shared" si="3"/>
        <v>61.142857142857146</v>
      </c>
    </row>
    <row r="66" spans="1:30" x14ac:dyDescent="0.3">
      <c r="A66" s="7">
        <v>59</v>
      </c>
      <c r="B66" s="22" t="s">
        <v>150</v>
      </c>
      <c r="C66" s="21">
        <v>60</v>
      </c>
      <c r="D66" s="21">
        <v>65</v>
      </c>
      <c r="E66" s="14"/>
      <c r="F66" s="22"/>
      <c r="G66" s="21"/>
      <c r="H66" s="21"/>
      <c r="I66" s="21">
        <v>55</v>
      </c>
      <c r="J66" s="14"/>
      <c r="K66" s="21">
        <v>69</v>
      </c>
      <c r="L66" s="21">
        <v>48</v>
      </c>
      <c r="M66" s="21"/>
      <c r="N66" s="21">
        <v>55</v>
      </c>
      <c r="O66" s="22"/>
      <c r="P66" s="13"/>
      <c r="Q66" s="13"/>
      <c r="R66" s="21"/>
      <c r="S66" s="21"/>
      <c r="T66" s="21"/>
      <c r="U66" s="13"/>
      <c r="V66" s="14"/>
      <c r="W66" s="21">
        <v>75</v>
      </c>
      <c r="X66" s="14"/>
      <c r="Y66" s="14"/>
      <c r="Z66" s="14"/>
      <c r="AA66" s="21">
        <v>58</v>
      </c>
      <c r="AB66" s="32">
        <f t="shared" si="2"/>
        <v>485</v>
      </c>
      <c r="AC66" s="18"/>
      <c r="AD66" s="13">
        <f t="shared" si="3"/>
        <v>60.625</v>
      </c>
    </row>
    <row r="67" spans="1:30" x14ac:dyDescent="0.3">
      <c r="A67" s="7">
        <v>60</v>
      </c>
      <c r="B67" s="22" t="s">
        <v>119</v>
      </c>
      <c r="C67" s="21">
        <v>65</v>
      </c>
      <c r="D67" s="21">
        <v>59</v>
      </c>
      <c r="E67" s="21"/>
      <c r="F67" s="21"/>
      <c r="G67" s="14"/>
      <c r="H67" s="21">
        <v>60</v>
      </c>
      <c r="I67" s="14"/>
      <c r="J67" s="22"/>
      <c r="K67" s="14"/>
      <c r="L67" s="21">
        <v>49</v>
      </c>
      <c r="M67" s="21">
        <v>55</v>
      </c>
      <c r="N67" s="13"/>
      <c r="O67" s="22"/>
      <c r="P67" s="21"/>
      <c r="Q67" s="21"/>
      <c r="R67" s="13"/>
      <c r="S67" s="21">
        <v>52</v>
      </c>
      <c r="T67" s="21">
        <v>72</v>
      </c>
      <c r="U67" s="21"/>
      <c r="V67" s="13"/>
      <c r="W67" s="13"/>
      <c r="X67" s="21"/>
      <c r="Y67" s="13"/>
      <c r="Z67" s="21"/>
      <c r="AA67" s="21">
        <v>72</v>
      </c>
      <c r="AB67" s="32">
        <f t="shared" si="2"/>
        <v>484</v>
      </c>
      <c r="AC67" s="18"/>
      <c r="AD67" s="13">
        <f t="shared" si="3"/>
        <v>60.5</v>
      </c>
    </row>
    <row r="68" spans="1:30" x14ac:dyDescent="0.3">
      <c r="A68" s="7">
        <v>61</v>
      </c>
      <c r="B68" s="22" t="s">
        <v>139</v>
      </c>
      <c r="C68" s="21">
        <v>47</v>
      </c>
      <c r="D68" s="21">
        <v>80</v>
      </c>
      <c r="E68" s="23"/>
      <c r="F68" s="21"/>
      <c r="G68" s="23"/>
      <c r="H68" s="21"/>
      <c r="I68" s="21"/>
      <c r="J68" s="21">
        <v>65</v>
      </c>
      <c r="K68" s="21"/>
      <c r="L68" s="21">
        <v>54</v>
      </c>
      <c r="M68" s="21"/>
      <c r="N68" s="21">
        <v>58</v>
      </c>
      <c r="O68" s="23"/>
      <c r="P68" s="23"/>
      <c r="Q68" s="23"/>
      <c r="R68" s="23"/>
      <c r="S68" s="23"/>
      <c r="T68" s="23"/>
      <c r="U68" s="21"/>
      <c r="V68" s="23"/>
      <c r="W68" s="21"/>
      <c r="X68" s="23"/>
      <c r="Y68" s="21">
        <v>55</v>
      </c>
      <c r="Z68" s="23"/>
      <c r="AA68" s="21">
        <v>59</v>
      </c>
      <c r="AB68" s="32">
        <f t="shared" si="2"/>
        <v>418</v>
      </c>
      <c r="AC68" s="18"/>
      <c r="AD68" s="13">
        <f t="shared" si="3"/>
        <v>59.714285714285715</v>
      </c>
    </row>
    <row r="69" spans="1:30" x14ac:dyDescent="0.3">
      <c r="A69" s="7">
        <v>62</v>
      </c>
      <c r="B69" s="22" t="s">
        <v>148</v>
      </c>
      <c r="C69" s="21">
        <v>52</v>
      </c>
      <c r="D69" s="21">
        <v>86</v>
      </c>
      <c r="E69" s="21"/>
      <c r="F69" s="21"/>
      <c r="G69" s="13"/>
      <c r="H69" s="21"/>
      <c r="I69" s="21">
        <v>69</v>
      </c>
      <c r="J69" s="14"/>
      <c r="K69" s="21">
        <v>65</v>
      </c>
      <c r="L69" s="21">
        <v>59</v>
      </c>
      <c r="M69" s="21"/>
      <c r="N69" s="21">
        <v>45</v>
      </c>
      <c r="O69" s="21"/>
      <c r="P69" s="21"/>
      <c r="Q69" s="13"/>
      <c r="R69" s="13"/>
      <c r="S69" s="14"/>
      <c r="T69" s="13"/>
      <c r="U69" s="21"/>
      <c r="V69" s="14"/>
      <c r="W69" s="21">
        <v>54</v>
      </c>
      <c r="X69" s="14"/>
      <c r="Y69" s="14"/>
      <c r="Z69" s="21"/>
      <c r="AA69" s="21">
        <v>45</v>
      </c>
      <c r="AB69" s="32">
        <f t="shared" si="2"/>
        <v>475</v>
      </c>
      <c r="AC69" s="18"/>
      <c r="AD69" s="13">
        <f t="shared" si="3"/>
        <v>59.375</v>
      </c>
    </row>
    <row r="70" spans="1:30" x14ac:dyDescent="0.3">
      <c r="A70" s="7">
        <v>63</v>
      </c>
      <c r="B70" s="22" t="s">
        <v>156</v>
      </c>
      <c r="C70" s="21">
        <v>59</v>
      </c>
      <c r="D70" s="21">
        <v>69</v>
      </c>
      <c r="E70" s="22"/>
      <c r="F70" s="22"/>
      <c r="G70" s="14"/>
      <c r="H70" s="21"/>
      <c r="I70" s="21">
        <v>54</v>
      </c>
      <c r="J70" s="21"/>
      <c r="K70" s="21">
        <v>66</v>
      </c>
      <c r="L70" s="21">
        <v>38</v>
      </c>
      <c r="M70" s="21"/>
      <c r="N70" s="21">
        <v>65</v>
      </c>
      <c r="O70" s="22"/>
      <c r="P70" s="14"/>
      <c r="Q70" s="22"/>
      <c r="R70" s="16"/>
      <c r="S70" s="21"/>
      <c r="T70" s="21"/>
      <c r="U70" s="14"/>
      <c r="V70" s="22"/>
      <c r="W70" s="21">
        <v>69</v>
      </c>
      <c r="X70" s="22"/>
      <c r="Y70" s="21"/>
      <c r="Z70" s="22"/>
      <c r="AA70" s="21">
        <v>55</v>
      </c>
      <c r="AB70" s="32">
        <f t="shared" si="2"/>
        <v>475</v>
      </c>
      <c r="AC70" s="18"/>
      <c r="AD70" s="13">
        <f t="shared" si="3"/>
        <v>59.375</v>
      </c>
    </row>
    <row r="71" spans="1:30" x14ac:dyDescent="0.3">
      <c r="A71" s="7">
        <v>64</v>
      </c>
      <c r="B71" s="22" t="s">
        <v>120</v>
      </c>
      <c r="C71" s="21">
        <v>41</v>
      </c>
      <c r="D71" s="21">
        <v>59</v>
      </c>
      <c r="E71" s="21"/>
      <c r="F71" s="22"/>
      <c r="G71" s="21"/>
      <c r="H71" s="21">
        <v>58</v>
      </c>
      <c r="I71" s="14"/>
      <c r="J71" s="14"/>
      <c r="K71" s="23"/>
      <c r="L71" s="21">
        <v>44</v>
      </c>
      <c r="M71" s="21">
        <v>65</v>
      </c>
      <c r="N71" s="21"/>
      <c r="O71" s="14"/>
      <c r="P71" s="23"/>
      <c r="Q71" s="14"/>
      <c r="R71" s="21"/>
      <c r="S71" s="21">
        <v>77</v>
      </c>
      <c r="T71" s="21">
        <v>70</v>
      </c>
      <c r="U71" s="21"/>
      <c r="V71" s="21"/>
      <c r="W71" s="14"/>
      <c r="X71" s="21"/>
      <c r="Y71" s="14"/>
      <c r="Z71" s="21"/>
      <c r="AA71" s="21">
        <v>58</v>
      </c>
      <c r="AB71" s="32">
        <f t="shared" si="2"/>
        <v>472</v>
      </c>
      <c r="AC71" s="18"/>
      <c r="AD71" s="13">
        <f t="shared" si="3"/>
        <v>59</v>
      </c>
    </row>
    <row r="72" spans="1:30" x14ac:dyDescent="0.3">
      <c r="A72" s="7">
        <v>65</v>
      </c>
      <c r="B72" s="22" t="s">
        <v>85</v>
      </c>
      <c r="C72" s="21">
        <v>51</v>
      </c>
      <c r="D72" s="21">
        <v>69</v>
      </c>
      <c r="E72" s="21"/>
      <c r="F72" s="23"/>
      <c r="G72" s="21">
        <v>60</v>
      </c>
      <c r="H72" s="21">
        <v>38</v>
      </c>
      <c r="I72" s="21"/>
      <c r="J72" s="23"/>
      <c r="K72" s="21"/>
      <c r="L72" s="21">
        <v>39</v>
      </c>
      <c r="M72" s="21"/>
      <c r="N72" s="21">
        <v>69</v>
      </c>
      <c r="O72" s="21"/>
      <c r="P72" s="21"/>
      <c r="Q72" s="23"/>
      <c r="R72" s="21">
        <v>69</v>
      </c>
      <c r="S72" s="23"/>
      <c r="T72" s="23"/>
      <c r="U72" s="23"/>
      <c r="V72" s="21"/>
      <c r="W72" s="21"/>
      <c r="X72" s="23"/>
      <c r="Y72" s="23"/>
      <c r="Z72" s="21"/>
      <c r="AA72" s="21">
        <v>65</v>
      </c>
      <c r="AB72" s="32">
        <f t="shared" ref="AB72:AB103" si="4">SUM(C72:AA72)</f>
        <v>460</v>
      </c>
      <c r="AC72" s="18"/>
      <c r="AD72" s="13">
        <f t="shared" ref="AD72:AD103" si="5">AVERAGE(C72:AA72)</f>
        <v>57.5</v>
      </c>
    </row>
    <row r="73" spans="1:30" x14ac:dyDescent="0.3">
      <c r="A73" s="7">
        <v>66</v>
      </c>
      <c r="B73" s="22" t="s">
        <v>35</v>
      </c>
      <c r="C73" s="21">
        <v>57</v>
      </c>
      <c r="D73" s="21">
        <v>69</v>
      </c>
      <c r="E73" s="21">
        <v>60</v>
      </c>
      <c r="F73" s="21"/>
      <c r="G73" s="14"/>
      <c r="H73" s="21"/>
      <c r="I73" s="14"/>
      <c r="J73" s="14"/>
      <c r="K73" s="14"/>
      <c r="L73" s="21">
        <v>55</v>
      </c>
      <c r="M73" s="21">
        <v>60</v>
      </c>
      <c r="N73" s="15"/>
      <c r="O73" s="21">
        <v>54</v>
      </c>
      <c r="P73" s="21">
        <v>55</v>
      </c>
      <c r="Q73" s="14"/>
      <c r="R73" s="16"/>
      <c r="S73" s="16"/>
      <c r="T73" s="16"/>
      <c r="U73" s="21"/>
      <c r="V73" s="14"/>
      <c r="W73" s="14"/>
      <c r="X73" s="21"/>
      <c r="Y73" s="14"/>
      <c r="Z73" s="21">
        <v>47</v>
      </c>
      <c r="AA73" s="21">
        <v>58</v>
      </c>
      <c r="AB73" s="32">
        <f t="shared" si="4"/>
        <v>515</v>
      </c>
      <c r="AC73" s="18"/>
      <c r="AD73" s="13">
        <f t="shared" si="5"/>
        <v>57.222222222222221</v>
      </c>
    </row>
    <row r="74" spans="1:30" x14ac:dyDescent="0.3">
      <c r="A74" s="7">
        <v>67</v>
      </c>
      <c r="B74" s="22" t="s">
        <v>38</v>
      </c>
      <c r="C74" s="21">
        <v>52</v>
      </c>
      <c r="D74" s="21">
        <v>82</v>
      </c>
      <c r="E74" s="21">
        <v>58</v>
      </c>
      <c r="F74" s="21"/>
      <c r="G74" s="13"/>
      <c r="H74" s="21"/>
      <c r="I74" s="14"/>
      <c r="J74" s="14"/>
      <c r="K74" s="22"/>
      <c r="L74" s="21">
        <v>49</v>
      </c>
      <c r="M74" s="21">
        <v>55</v>
      </c>
      <c r="N74" s="22"/>
      <c r="O74" s="21">
        <v>62</v>
      </c>
      <c r="P74" s="21">
        <v>55</v>
      </c>
      <c r="Q74" s="13"/>
      <c r="R74" s="22"/>
      <c r="S74" s="14"/>
      <c r="T74" s="13"/>
      <c r="U74" s="21"/>
      <c r="V74" s="14"/>
      <c r="W74" s="14"/>
      <c r="X74" s="21"/>
      <c r="Y74" s="14"/>
      <c r="Z74" s="21">
        <v>47</v>
      </c>
      <c r="AA74" s="21">
        <v>55</v>
      </c>
      <c r="AB74" s="32">
        <f t="shared" si="4"/>
        <v>515</v>
      </c>
      <c r="AC74" s="18"/>
      <c r="AD74" s="13">
        <f t="shared" si="5"/>
        <v>57.222222222222221</v>
      </c>
    </row>
    <row r="75" spans="1:30" x14ac:dyDescent="0.3">
      <c r="A75" s="7">
        <v>68</v>
      </c>
      <c r="B75" s="22" t="s">
        <v>84</v>
      </c>
      <c r="C75" s="21">
        <v>42</v>
      </c>
      <c r="D75" s="21">
        <v>75</v>
      </c>
      <c r="E75" s="14"/>
      <c r="F75" s="14"/>
      <c r="G75" s="21">
        <v>52</v>
      </c>
      <c r="H75" s="21">
        <v>59</v>
      </c>
      <c r="I75" s="21"/>
      <c r="J75" s="22"/>
      <c r="K75" s="21"/>
      <c r="L75" s="21">
        <v>48</v>
      </c>
      <c r="M75" s="21"/>
      <c r="N75" s="21">
        <v>39</v>
      </c>
      <c r="O75" s="22"/>
      <c r="P75" s="14"/>
      <c r="Q75" s="22"/>
      <c r="R75" s="21">
        <v>80</v>
      </c>
      <c r="S75" s="21"/>
      <c r="T75" s="21"/>
      <c r="U75" s="14"/>
      <c r="V75" s="22"/>
      <c r="W75" s="21"/>
      <c r="X75" s="22"/>
      <c r="Y75" s="22"/>
      <c r="Z75" s="22"/>
      <c r="AA75" s="21">
        <v>62</v>
      </c>
      <c r="AB75" s="32">
        <f t="shared" si="4"/>
        <v>457</v>
      </c>
      <c r="AC75" s="18"/>
      <c r="AD75" s="13">
        <f t="shared" si="5"/>
        <v>57.125</v>
      </c>
    </row>
    <row r="76" spans="1:30" x14ac:dyDescent="0.3">
      <c r="A76" s="7">
        <v>69</v>
      </c>
      <c r="B76" s="22" t="s">
        <v>122</v>
      </c>
      <c r="C76" s="21">
        <v>39</v>
      </c>
      <c r="D76" s="21">
        <v>77</v>
      </c>
      <c r="E76" s="23"/>
      <c r="F76" s="23"/>
      <c r="G76" s="21"/>
      <c r="H76" s="21">
        <v>42</v>
      </c>
      <c r="I76" s="21"/>
      <c r="J76" s="23"/>
      <c r="K76" s="21"/>
      <c r="L76" s="21">
        <v>44</v>
      </c>
      <c r="M76" s="21">
        <v>54</v>
      </c>
      <c r="N76" s="21"/>
      <c r="O76" s="23"/>
      <c r="P76" s="23"/>
      <c r="Q76" s="23"/>
      <c r="R76" s="21"/>
      <c r="S76" s="21">
        <v>78</v>
      </c>
      <c r="T76" s="21">
        <v>69</v>
      </c>
      <c r="U76" s="23"/>
      <c r="V76" s="23"/>
      <c r="W76" s="21"/>
      <c r="X76" s="23"/>
      <c r="Y76" s="23"/>
      <c r="Z76" s="23"/>
      <c r="AA76" s="21">
        <v>54</v>
      </c>
      <c r="AB76" s="32">
        <f t="shared" si="4"/>
        <v>457</v>
      </c>
      <c r="AC76" s="18"/>
      <c r="AD76" s="13">
        <f t="shared" si="5"/>
        <v>57.125</v>
      </c>
    </row>
    <row r="77" spans="1:30" x14ac:dyDescent="0.3">
      <c r="A77" s="7">
        <v>70</v>
      </c>
      <c r="B77" s="22" t="s">
        <v>155</v>
      </c>
      <c r="C77" s="21">
        <v>30</v>
      </c>
      <c r="D77" s="21">
        <v>65</v>
      </c>
      <c r="E77" s="23"/>
      <c r="F77" s="23"/>
      <c r="G77" s="23"/>
      <c r="H77" s="23"/>
      <c r="I77" s="21">
        <v>62</v>
      </c>
      <c r="J77" s="21"/>
      <c r="K77" s="21">
        <v>65</v>
      </c>
      <c r="L77" s="21">
        <v>50</v>
      </c>
      <c r="M77" s="23"/>
      <c r="N77" s="21">
        <v>54</v>
      </c>
      <c r="O77" s="23"/>
      <c r="P77" s="23"/>
      <c r="Q77" s="23"/>
      <c r="R77" s="23"/>
      <c r="S77" s="23"/>
      <c r="T77" s="23"/>
      <c r="U77" s="23"/>
      <c r="V77" s="23"/>
      <c r="W77" s="21">
        <v>69</v>
      </c>
      <c r="X77" s="23"/>
      <c r="Y77" s="21"/>
      <c r="Z77" s="23"/>
      <c r="AA77" s="21">
        <v>62</v>
      </c>
      <c r="AB77" s="32">
        <f t="shared" si="4"/>
        <v>457</v>
      </c>
      <c r="AC77" s="18"/>
      <c r="AD77" s="13">
        <f t="shared" si="5"/>
        <v>57.125</v>
      </c>
    </row>
    <row r="78" spans="1:30" x14ac:dyDescent="0.3">
      <c r="A78" s="7">
        <v>71</v>
      </c>
      <c r="B78" s="22" t="s">
        <v>100</v>
      </c>
      <c r="C78" s="21">
        <v>39</v>
      </c>
      <c r="D78" s="21">
        <v>65</v>
      </c>
      <c r="E78" s="14"/>
      <c r="F78" s="13"/>
      <c r="G78" s="21">
        <v>75</v>
      </c>
      <c r="H78" s="21">
        <v>47</v>
      </c>
      <c r="I78" s="14"/>
      <c r="J78" s="22"/>
      <c r="K78" s="14"/>
      <c r="L78" s="21">
        <v>44</v>
      </c>
      <c r="M78" s="13"/>
      <c r="N78" s="21">
        <v>50</v>
      </c>
      <c r="O78" s="22"/>
      <c r="P78" s="13"/>
      <c r="Q78" s="22"/>
      <c r="R78" s="21">
        <v>77</v>
      </c>
      <c r="S78" s="13"/>
      <c r="T78" s="13"/>
      <c r="U78" s="13"/>
      <c r="V78" s="22"/>
      <c r="W78" s="22"/>
      <c r="X78" s="22"/>
      <c r="Y78" s="22"/>
      <c r="Z78" s="22"/>
      <c r="AA78" s="21">
        <v>58</v>
      </c>
      <c r="AB78" s="32">
        <f t="shared" si="4"/>
        <v>455</v>
      </c>
      <c r="AC78" s="18"/>
      <c r="AD78" s="13">
        <f t="shared" si="5"/>
        <v>56.875</v>
      </c>
    </row>
    <row r="79" spans="1:30" x14ac:dyDescent="0.3">
      <c r="A79" s="7">
        <v>72</v>
      </c>
      <c r="B79" s="22" t="s">
        <v>66</v>
      </c>
      <c r="C79" s="21">
        <v>62</v>
      </c>
      <c r="D79" s="21">
        <v>87</v>
      </c>
      <c r="E79" s="21"/>
      <c r="F79" s="21">
        <v>50</v>
      </c>
      <c r="G79" s="23"/>
      <c r="H79" s="21">
        <v>65</v>
      </c>
      <c r="I79" s="21"/>
      <c r="J79" s="23"/>
      <c r="K79" s="21"/>
      <c r="L79" s="21">
        <v>52</v>
      </c>
      <c r="M79" s="21">
        <v>34</v>
      </c>
      <c r="N79" s="21"/>
      <c r="O79" s="21"/>
      <c r="P79" s="21"/>
      <c r="Q79" s="23"/>
      <c r="R79" s="23"/>
      <c r="S79" s="23"/>
      <c r="T79" s="23"/>
      <c r="U79" s="21">
        <v>40</v>
      </c>
      <c r="V79" s="21"/>
      <c r="W79" s="21"/>
      <c r="X79" s="23"/>
      <c r="Y79" s="23"/>
      <c r="Z79" s="21"/>
      <c r="AA79" s="21">
        <v>62</v>
      </c>
      <c r="AB79" s="32">
        <f t="shared" si="4"/>
        <v>452</v>
      </c>
      <c r="AC79" s="18"/>
      <c r="AD79" s="13">
        <f t="shared" si="5"/>
        <v>56.5</v>
      </c>
    </row>
    <row r="80" spans="1:30" x14ac:dyDescent="0.3">
      <c r="A80" s="7">
        <v>73</v>
      </c>
      <c r="B80" s="22" t="s">
        <v>106</v>
      </c>
      <c r="C80" s="21">
        <v>47</v>
      </c>
      <c r="D80" s="21">
        <v>77</v>
      </c>
      <c r="E80" s="14"/>
      <c r="F80" s="22"/>
      <c r="G80" s="21">
        <v>60</v>
      </c>
      <c r="H80" s="21">
        <v>59</v>
      </c>
      <c r="I80" s="14"/>
      <c r="J80" s="14"/>
      <c r="K80" s="22"/>
      <c r="L80" s="21">
        <v>39</v>
      </c>
      <c r="M80" s="21"/>
      <c r="N80" s="21">
        <v>38</v>
      </c>
      <c r="O80" s="13"/>
      <c r="P80" s="13"/>
      <c r="Q80" s="13"/>
      <c r="R80" s="21">
        <v>52</v>
      </c>
      <c r="S80" s="21"/>
      <c r="T80" s="21"/>
      <c r="U80" s="13"/>
      <c r="V80" s="14"/>
      <c r="W80" s="14"/>
      <c r="X80" s="14"/>
      <c r="Y80" s="14"/>
      <c r="Z80" s="14"/>
      <c r="AA80" s="21">
        <v>75</v>
      </c>
      <c r="AB80" s="32">
        <f t="shared" si="4"/>
        <v>447</v>
      </c>
      <c r="AC80" s="18"/>
      <c r="AD80" s="13">
        <f t="shared" si="5"/>
        <v>55.875</v>
      </c>
    </row>
    <row r="81" spans="1:30" x14ac:dyDescent="0.3">
      <c r="A81" s="7">
        <v>74</v>
      </c>
      <c r="B81" s="22" t="s">
        <v>121</v>
      </c>
      <c r="C81" s="21">
        <v>45</v>
      </c>
      <c r="D81" s="21">
        <v>58</v>
      </c>
      <c r="E81" s="22"/>
      <c r="F81" s="21"/>
      <c r="G81" s="21"/>
      <c r="H81" s="21">
        <v>55</v>
      </c>
      <c r="I81" s="14"/>
      <c r="J81" s="14"/>
      <c r="K81" s="22"/>
      <c r="L81" s="21">
        <v>56</v>
      </c>
      <c r="M81" s="21">
        <v>41</v>
      </c>
      <c r="N81" s="21"/>
      <c r="O81" s="23"/>
      <c r="P81" s="23"/>
      <c r="Q81" s="23"/>
      <c r="R81" s="21"/>
      <c r="S81" s="21">
        <v>55</v>
      </c>
      <c r="T81" s="21">
        <v>75</v>
      </c>
      <c r="U81" s="21"/>
      <c r="V81" s="22"/>
      <c r="W81" s="22"/>
      <c r="X81" s="22"/>
      <c r="Y81" s="22"/>
      <c r="Z81" s="22"/>
      <c r="AA81" s="21">
        <v>62</v>
      </c>
      <c r="AB81" s="32">
        <f t="shared" si="4"/>
        <v>447</v>
      </c>
      <c r="AC81" s="18"/>
      <c r="AD81" s="13">
        <f t="shared" si="5"/>
        <v>55.875</v>
      </c>
    </row>
    <row r="82" spans="1:30" x14ac:dyDescent="0.3">
      <c r="A82" s="7">
        <v>75</v>
      </c>
      <c r="B82" s="22" t="s">
        <v>104</v>
      </c>
      <c r="C82" s="21">
        <v>33</v>
      </c>
      <c r="D82" s="21">
        <v>80</v>
      </c>
      <c r="E82" s="23"/>
      <c r="F82" s="23"/>
      <c r="G82" s="21">
        <v>62</v>
      </c>
      <c r="H82" s="21">
        <v>52</v>
      </c>
      <c r="I82" s="21"/>
      <c r="J82" s="23"/>
      <c r="K82" s="21"/>
      <c r="L82" s="21">
        <v>54</v>
      </c>
      <c r="M82" s="23"/>
      <c r="N82" s="21">
        <v>45</v>
      </c>
      <c r="O82" s="23"/>
      <c r="P82" s="23"/>
      <c r="Q82" s="23"/>
      <c r="R82" s="21">
        <v>65</v>
      </c>
      <c r="S82" s="23"/>
      <c r="T82" s="23"/>
      <c r="U82" s="23"/>
      <c r="V82" s="23"/>
      <c r="W82" s="21"/>
      <c r="X82" s="23"/>
      <c r="Y82" s="23"/>
      <c r="Z82" s="23"/>
      <c r="AA82" s="21">
        <v>52</v>
      </c>
      <c r="AB82" s="32">
        <f t="shared" si="4"/>
        <v>443</v>
      </c>
      <c r="AC82" s="18"/>
      <c r="AD82" s="13">
        <f t="shared" si="5"/>
        <v>55.375</v>
      </c>
    </row>
    <row r="83" spans="1:30" x14ac:dyDescent="0.3">
      <c r="A83" s="7">
        <v>76</v>
      </c>
      <c r="B83" s="22" t="s">
        <v>91</v>
      </c>
      <c r="C83" s="21">
        <v>47</v>
      </c>
      <c r="D83" s="21">
        <v>72</v>
      </c>
      <c r="E83" s="14"/>
      <c r="F83" s="21"/>
      <c r="G83" s="21">
        <v>62</v>
      </c>
      <c r="H83" s="21">
        <v>44</v>
      </c>
      <c r="I83" s="14"/>
      <c r="J83" s="14"/>
      <c r="K83" s="22"/>
      <c r="L83" s="21">
        <v>44</v>
      </c>
      <c r="M83" s="21"/>
      <c r="N83" s="21">
        <v>53</v>
      </c>
      <c r="O83" s="23"/>
      <c r="P83" s="22"/>
      <c r="Q83" s="23"/>
      <c r="R83" s="21">
        <v>58</v>
      </c>
      <c r="S83" s="14"/>
      <c r="T83" s="23"/>
      <c r="U83" s="21"/>
      <c r="V83" s="14"/>
      <c r="W83" s="14"/>
      <c r="X83" s="14"/>
      <c r="Y83" s="14"/>
      <c r="Z83" s="14"/>
      <c r="AA83" s="21">
        <v>62</v>
      </c>
      <c r="AB83" s="32">
        <f t="shared" si="4"/>
        <v>442</v>
      </c>
      <c r="AC83" s="18"/>
      <c r="AD83" s="13">
        <f t="shared" si="5"/>
        <v>55.25</v>
      </c>
    </row>
    <row r="84" spans="1:30" x14ac:dyDescent="0.3">
      <c r="A84" s="7">
        <v>77</v>
      </c>
      <c r="B84" s="22" t="s">
        <v>111</v>
      </c>
      <c r="C84" s="21">
        <v>28</v>
      </c>
      <c r="D84" s="21">
        <v>65</v>
      </c>
      <c r="E84" s="21"/>
      <c r="F84" s="23"/>
      <c r="G84" s="21"/>
      <c r="H84" s="21">
        <v>36</v>
      </c>
      <c r="I84" s="23"/>
      <c r="J84" s="23"/>
      <c r="K84" s="23"/>
      <c r="L84" s="21">
        <v>50</v>
      </c>
      <c r="M84" s="21">
        <v>65</v>
      </c>
      <c r="N84" s="21"/>
      <c r="O84" s="23"/>
      <c r="P84" s="23"/>
      <c r="Q84" s="23"/>
      <c r="R84" s="21"/>
      <c r="S84" s="21">
        <v>65</v>
      </c>
      <c r="T84" s="21">
        <v>65</v>
      </c>
      <c r="U84" s="21"/>
      <c r="V84" s="21"/>
      <c r="W84" s="21"/>
      <c r="X84" s="21"/>
      <c r="Y84" s="23"/>
      <c r="Z84" s="21"/>
      <c r="AA84" s="21">
        <v>66</v>
      </c>
      <c r="AB84" s="32">
        <f t="shared" si="4"/>
        <v>440</v>
      </c>
      <c r="AC84" s="18"/>
      <c r="AD84" s="13">
        <f t="shared" si="5"/>
        <v>55</v>
      </c>
    </row>
    <row r="85" spans="1:30" x14ac:dyDescent="0.3">
      <c r="A85" s="7">
        <v>78</v>
      </c>
      <c r="B85" s="22" t="s">
        <v>149</v>
      </c>
      <c r="C85" s="21">
        <v>50</v>
      </c>
      <c r="D85" s="21">
        <v>75</v>
      </c>
      <c r="E85" s="21"/>
      <c r="F85" s="21"/>
      <c r="G85" s="23"/>
      <c r="H85" s="21"/>
      <c r="I85" s="21">
        <v>39</v>
      </c>
      <c r="J85" s="14"/>
      <c r="K85" s="21">
        <v>52</v>
      </c>
      <c r="L85" s="21">
        <v>38</v>
      </c>
      <c r="M85" s="21"/>
      <c r="N85" s="21">
        <v>56</v>
      </c>
      <c r="O85" s="21"/>
      <c r="P85" s="21"/>
      <c r="Q85" s="14"/>
      <c r="R85" s="23"/>
      <c r="S85" s="22"/>
      <c r="T85" s="23"/>
      <c r="U85" s="21"/>
      <c r="V85" s="14"/>
      <c r="W85" s="21">
        <v>72</v>
      </c>
      <c r="X85" s="21"/>
      <c r="Y85" s="14"/>
      <c r="Z85" s="21"/>
      <c r="AA85" s="21">
        <v>58</v>
      </c>
      <c r="AB85" s="32">
        <f t="shared" si="4"/>
        <v>440</v>
      </c>
      <c r="AC85" s="18"/>
      <c r="AD85" s="13">
        <f t="shared" si="5"/>
        <v>55</v>
      </c>
    </row>
    <row r="86" spans="1:30" x14ac:dyDescent="0.3">
      <c r="A86" s="7">
        <v>79</v>
      </c>
      <c r="B86" s="22" t="s">
        <v>76</v>
      </c>
      <c r="C86" s="21">
        <v>55</v>
      </c>
      <c r="D86" s="21">
        <v>75</v>
      </c>
      <c r="E86" s="21"/>
      <c r="F86" s="21">
        <v>33</v>
      </c>
      <c r="G86" s="22"/>
      <c r="H86" s="21">
        <v>44</v>
      </c>
      <c r="I86" s="14"/>
      <c r="J86" s="21"/>
      <c r="K86" s="22"/>
      <c r="L86" s="21">
        <v>62</v>
      </c>
      <c r="M86" s="21">
        <v>50</v>
      </c>
      <c r="N86" s="21"/>
      <c r="O86" s="14"/>
      <c r="P86" s="22"/>
      <c r="Q86" s="23"/>
      <c r="R86" s="22"/>
      <c r="S86" s="22"/>
      <c r="T86" s="23"/>
      <c r="U86" s="21">
        <v>62</v>
      </c>
      <c r="V86" s="14"/>
      <c r="W86" s="14"/>
      <c r="X86" s="21"/>
      <c r="Y86" s="21"/>
      <c r="Z86" s="21"/>
      <c r="AA86" s="21">
        <v>55</v>
      </c>
      <c r="AB86" s="32">
        <f t="shared" si="4"/>
        <v>436</v>
      </c>
      <c r="AC86" s="18"/>
      <c r="AD86" s="13">
        <f t="shared" si="5"/>
        <v>54.5</v>
      </c>
    </row>
    <row r="87" spans="1:30" x14ac:dyDescent="0.3">
      <c r="A87" s="7">
        <v>80</v>
      </c>
      <c r="B87" s="22" t="s">
        <v>102</v>
      </c>
      <c r="C87" s="21">
        <v>39</v>
      </c>
      <c r="D87" s="21">
        <v>64</v>
      </c>
      <c r="E87" s="14"/>
      <c r="F87" s="21"/>
      <c r="G87" s="21">
        <v>75</v>
      </c>
      <c r="H87" s="21">
        <v>28</v>
      </c>
      <c r="I87" s="21"/>
      <c r="J87" s="21"/>
      <c r="K87" s="21"/>
      <c r="L87" s="21">
        <v>39</v>
      </c>
      <c r="M87" s="21"/>
      <c r="N87" s="21">
        <v>57</v>
      </c>
      <c r="O87" s="23"/>
      <c r="P87" s="23"/>
      <c r="Q87" s="23"/>
      <c r="R87" s="21">
        <v>60</v>
      </c>
      <c r="S87" s="14"/>
      <c r="T87" s="23"/>
      <c r="U87" s="21"/>
      <c r="V87" s="14"/>
      <c r="W87" s="21"/>
      <c r="X87" s="14"/>
      <c r="Y87" s="21"/>
      <c r="Z87" s="14"/>
      <c r="AA87" s="21">
        <v>72</v>
      </c>
      <c r="AB87" s="32">
        <f t="shared" si="4"/>
        <v>434</v>
      </c>
      <c r="AC87" s="18"/>
      <c r="AD87" s="13">
        <f t="shared" si="5"/>
        <v>54.25</v>
      </c>
    </row>
    <row r="88" spans="1:30" x14ac:dyDescent="0.3">
      <c r="A88" s="7">
        <v>81</v>
      </c>
      <c r="B88" s="22" t="s">
        <v>158</v>
      </c>
      <c r="C88" s="21">
        <v>39</v>
      </c>
      <c r="D88" s="21">
        <v>72</v>
      </c>
      <c r="E88" s="14"/>
      <c r="F88" s="21"/>
      <c r="G88" s="21"/>
      <c r="H88" s="21"/>
      <c r="I88" s="21">
        <v>60</v>
      </c>
      <c r="J88" s="22"/>
      <c r="K88" s="21">
        <v>58</v>
      </c>
      <c r="L88" s="21">
        <v>34</v>
      </c>
      <c r="M88" s="21"/>
      <c r="N88" s="21">
        <v>73</v>
      </c>
      <c r="O88" s="13"/>
      <c r="P88" s="14"/>
      <c r="Q88" s="13"/>
      <c r="R88" s="21"/>
      <c r="S88" s="22"/>
      <c r="T88" s="13"/>
      <c r="U88" s="21"/>
      <c r="V88" s="13"/>
      <c r="W88" s="21">
        <v>40</v>
      </c>
      <c r="X88" s="13"/>
      <c r="Y88" s="13"/>
      <c r="Z88" s="13"/>
      <c r="AA88" s="21">
        <v>58</v>
      </c>
      <c r="AB88" s="32">
        <f t="shared" si="4"/>
        <v>434</v>
      </c>
      <c r="AC88" s="18"/>
      <c r="AD88" s="13">
        <f t="shared" si="5"/>
        <v>54.25</v>
      </c>
    </row>
    <row r="89" spans="1:30" x14ac:dyDescent="0.3">
      <c r="A89" s="7">
        <v>82</v>
      </c>
      <c r="B89" s="22" t="s">
        <v>135</v>
      </c>
      <c r="C89" s="21">
        <v>35</v>
      </c>
      <c r="D89" s="21">
        <v>77</v>
      </c>
      <c r="E89" s="21"/>
      <c r="F89" s="22"/>
      <c r="G89" s="13"/>
      <c r="H89" s="21"/>
      <c r="I89" s="14"/>
      <c r="J89" s="21">
        <v>47</v>
      </c>
      <c r="K89" s="14"/>
      <c r="L89" s="21">
        <v>35</v>
      </c>
      <c r="M89" s="21"/>
      <c r="N89" s="21">
        <v>59</v>
      </c>
      <c r="O89" s="21"/>
      <c r="P89" s="21"/>
      <c r="Q89" s="13"/>
      <c r="R89" s="14"/>
      <c r="S89" s="21"/>
      <c r="T89" s="21"/>
      <c r="U89" s="13"/>
      <c r="V89" s="13"/>
      <c r="W89" s="13"/>
      <c r="X89" s="13"/>
      <c r="Y89" s="21">
        <v>53</v>
      </c>
      <c r="Z89" s="21"/>
      <c r="AA89" s="21">
        <v>72</v>
      </c>
      <c r="AB89" s="32">
        <f t="shared" si="4"/>
        <v>378</v>
      </c>
      <c r="AC89" s="18"/>
      <c r="AD89" s="13">
        <f t="shared" si="5"/>
        <v>54</v>
      </c>
    </row>
    <row r="90" spans="1:30" x14ac:dyDescent="0.3">
      <c r="A90" s="7">
        <v>83</v>
      </c>
      <c r="B90" s="22" t="s">
        <v>137</v>
      </c>
      <c r="C90" s="21">
        <v>35</v>
      </c>
      <c r="D90" s="21">
        <v>65</v>
      </c>
      <c r="E90" s="23"/>
      <c r="F90" s="23"/>
      <c r="G90" s="21"/>
      <c r="H90" s="21"/>
      <c r="I90" s="21"/>
      <c r="J90" s="21">
        <v>59</v>
      </c>
      <c r="K90" s="21"/>
      <c r="L90" s="21">
        <v>41</v>
      </c>
      <c r="M90" s="21"/>
      <c r="N90" s="21">
        <v>60</v>
      </c>
      <c r="O90" s="23"/>
      <c r="P90" s="23"/>
      <c r="Q90" s="23"/>
      <c r="R90" s="21"/>
      <c r="S90" s="21"/>
      <c r="T90" s="21"/>
      <c r="U90" s="23"/>
      <c r="V90" s="23"/>
      <c r="W90" s="21"/>
      <c r="X90" s="23"/>
      <c r="Y90" s="21">
        <v>62</v>
      </c>
      <c r="Z90" s="23"/>
      <c r="AA90" s="21">
        <v>55</v>
      </c>
      <c r="AB90" s="32">
        <f t="shared" si="4"/>
        <v>377</v>
      </c>
      <c r="AC90" s="18"/>
      <c r="AD90" s="13">
        <f t="shared" si="5"/>
        <v>53.857142857142854</v>
      </c>
    </row>
    <row r="91" spans="1:30" x14ac:dyDescent="0.3">
      <c r="A91" s="7">
        <v>84</v>
      </c>
      <c r="B91" s="22" t="s">
        <v>90</v>
      </c>
      <c r="C91" s="21">
        <v>53</v>
      </c>
      <c r="D91" s="21">
        <v>58</v>
      </c>
      <c r="E91" s="14"/>
      <c r="F91" s="21"/>
      <c r="G91" s="21">
        <v>38</v>
      </c>
      <c r="H91" s="21">
        <v>55</v>
      </c>
      <c r="I91" s="14"/>
      <c r="J91" s="14"/>
      <c r="K91" s="23"/>
      <c r="L91" s="21">
        <v>55</v>
      </c>
      <c r="M91" s="21"/>
      <c r="N91" s="21">
        <v>44</v>
      </c>
      <c r="O91" s="14"/>
      <c r="P91" s="23"/>
      <c r="Q91" s="14"/>
      <c r="R91" s="21">
        <v>69</v>
      </c>
      <c r="S91" s="22"/>
      <c r="T91" s="23"/>
      <c r="U91" s="21"/>
      <c r="V91" s="14"/>
      <c r="W91" s="14"/>
      <c r="X91" s="14"/>
      <c r="Y91" s="14"/>
      <c r="Z91" s="14"/>
      <c r="AA91" s="21">
        <v>58</v>
      </c>
      <c r="AB91" s="32">
        <f t="shared" si="4"/>
        <v>430</v>
      </c>
      <c r="AC91" s="18"/>
      <c r="AD91" s="13">
        <f t="shared" si="5"/>
        <v>53.75</v>
      </c>
    </row>
    <row r="92" spans="1:30" x14ac:dyDescent="0.3">
      <c r="A92" s="7">
        <v>85</v>
      </c>
      <c r="B92" s="22" t="s">
        <v>133</v>
      </c>
      <c r="C92" s="21">
        <v>38</v>
      </c>
      <c r="D92" s="21">
        <v>69</v>
      </c>
      <c r="E92" s="22"/>
      <c r="F92" s="14"/>
      <c r="G92" s="21"/>
      <c r="H92" s="21"/>
      <c r="I92" s="21"/>
      <c r="J92" s="21">
        <v>54</v>
      </c>
      <c r="K92" s="21"/>
      <c r="L92" s="21">
        <v>29</v>
      </c>
      <c r="M92" s="14"/>
      <c r="N92" s="21">
        <v>65</v>
      </c>
      <c r="O92" s="22"/>
      <c r="P92" s="14"/>
      <c r="Q92" s="22"/>
      <c r="R92" s="21"/>
      <c r="S92" s="14"/>
      <c r="T92" s="14"/>
      <c r="U92" s="14"/>
      <c r="V92" s="22"/>
      <c r="W92" s="21"/>
      <c r="X92" s="22"/>
      <c r="Y92" s="21">
        <v>58</v>
      </c>
      <c r="Z92" s="22"/>
      <c r="AA92" s="21">
        <v>62</v>
      </c>
      <c r="AB92" s="32">
        <f t="shared" si="4"/>
        <v>375</v>
      </c>
      <c r="AC92" s="18"/>
      <c r="AD92" s="13">
        <f t="shared" si="5"/>
        <v>53.571428571428569</v>
      </c>
    </row>
    <row r="93" spans="1:30" x14ac:dyDescent="0.3">
      <c r="A93" s="7">
        <v>86</v>
      </c>
      <c r="B93" s="22" t="s">
        <v>116</v>
      </c>
      <c r="C93" s="21">
        <v>39</v>
      </c>
      <c r="D93" s="21">
        <v>70</v>
      </c>
      <c r="E93" s="22"/>
      <c r="F93" s="13"/>
      <c r="G93" s="14"/>
      <c r="H93" s="21">
        <v>32</v>
      </c>
      <c r="I93" s="21"/>
      <c r="J93" s="21"/>
      <c r="K93" s="21"/>
      <c r="L93" s="21">
        <v>35</v>
      </c>
      <c r="M93" s="21">
        <v>53</v>
      </c>
      <c r="N93" s="21"/>
      <c r="O93" s="13"/>
      <c r="P93" s="14"/>
      <c r="Q93" s="13"/>
      <c r="R93" s="22"/>
      <c r="S93" s="21">
        <v>83</v>
      </c>
      <c r="T93" s="21">
        <v>62</v>
      </c>
      <c r="U93" s="14"/>
      <c r="V93" s="13"/>
      <c r="W93" s="21"/>
      <c r="X93" s="13"/>
      <c r="Y93" s="21"/>
      <c r="Z93" s="13"/>
      <c r="AA93" s="21">
        <v>54</v>
      </c>
      <c r="AB93" s="32">
        <f t="shared" si="4"/>
        <v>428</v>
      </c>
      <c r="AC93" s="18"/>
      <c r="AD93" s="13">
        <f t="shared" si="5"/>
        <v>53.5</v>
      </c>
    </row>
    <row r="94" spans="1:30" x14ac:dyDescent="0.3">
      <c r="A94" s="7">
        <v>87</v>
      </c>
      <c r="B94" s="22" t="s">
        <v>59</v>
      </c>
      <c r="C94" s="21">
        <v>53</v>
      </c>
      <c r="D94" s="21">
        <v>83</v>
      </c>
      <c r="E94" s="21">
        <v>42</v>
      </c>
      <c r="F94" s="21"/>
      <c r="G94" s="13"/>
      <c r="H94" s="22"/>
      <c r="I94" s="14"/>
      <c r="J94" s="14"/>
      <c r="K94" s="13"/>
      <c r="L94" s="21">
        <v>60</v>
      </c>
      <c r="M94" s="21">
        <v>39</v>
      </c>
      <c r="N94" s="13"/>
      <c r="O94" s="21"/>
      <c r="P94" s="21"/>
      <c r="Q94" s="21"/>
      <c r="R94" s="13"/>
      <c r="S94" s="14"/>
      <c r="T94" s="13"/>
      <c r="U94" s="21">
        <v>44</v>
      </c>
      <c r="V94" s="14"/>
      <c r="W94" s="14"/>
      <c r="X94" s="21">
        <v>53</v>
      </c>
      <c r="Y94" s="14"/>
      <c r="Z94" s="21">
        <v>49</v>
      </c>
      <c r="AA94" s="21"/>
      <c r="AB94" s="32">
        <f t="shared" si="4"/>
        <v>423</v>
      </c>
      <c r="AC94" s="18"/>
      <c r="AD94" s="13">
        <f t="shared" si="5"/>
        <v>52.875</v>
      </c>
    </row>
    <row r="95" spans="1:30" x14ac:dyDescent="0.3">
      <c r="A95" s="7">
        <v>88</v>
      </c>
      <c r="B95" s="22" t="s">
        <v>105</v>
      </c>
      <c r="C95" s="21">
        <v>38</v>
      </c>
      <c r="D95" s="21">
        <v>75</v>
      </c>
      <c r="E95" s="23"/>
      <c r="F95" s="23"/>
      <c r="G95" s="21">
        <v>37</v>
      </c>
      <c r="H95" s="21">
        <v>41</v>
      </c>
      <c r="I95" s="23"/>
      <c r="J95" s="21"/>
      <c r="K95" s="23"/>
      <c r="L95" s="21">
        <v>42</v>
      </c>
      <c r="M95" s="21"/>
      <c r="N95" s="21">
        <v>52</v>
      </c>
      <c r="O95" s="23"/>
      <c r="P95" s="23"/>
      <c r="Q95" s="23"/>
      <c r="R95" s="21">
        <v>79</v>
      </c>
      <c r="S95" s="21"/>
      <c r="T95" s="21"/>
      <c r="U95" s="23"/>
      <c r="V95" s="23"/>
      <c r="W95" s="23"/>
      <c r="X95" s="23"/>
      <c r="Y95" s="21"/>
      <c r="Z95" s="23"/>
      <c r="AA95" s="21">
        <v>58</v>
      </c>
      <c r="AB95" s="32">
        <f t="shared" si="4"/>
        <v>422</v>
      </c>
      <c r="AC95" s="18"/>
      <c r="AD95" s="13">
        <f t="shared" si="5"/>
        <v>52.75</v>
      </c>
    </row>
    <row r="96" spans="1:30" x14ac:dyDescent="0.3">
      <c r="A96" s="7">
        <v>89</v>
      </c>
      <c r="B96" s="22" t="s">
        <v>118</v>
      </c>
      <c r="C96" s="21">
        <v>38</v>
      </c>
      <c r="D96" s="21">
        <v>72</v>
      </c>
      <c r="E96" s="21"/>
      <c r="F96" s="21"/>
      <c r="G96" s="22"/>
      <c r="H96" s="21">
        <v>47</v>
      </c>
      <c r="I96" s="14"/>
      <c r="J96" s="14"/>
      <c r="K96" s="22"/>
      <c r="L96" s="21">
        <v>47</v>
      </c>
      <c r="M96" s="21">
        <v>38</v>
      </c>
      <c r="N96" s="25"/>
      <c r="O96" s="21"/>
      <c r="P96" s="21"/>
      <c r="Q96" s="14"/>
      <c r="R96" s="25"/>
      <c r="S96" s="21">
        <v>54</v>
      </c>
      <c r="T96" s="21">
        <v>66</v>
      </c>
      <c r="U96" s="21"/>
      <c r="V96" s="14"/>
      <c r="W96" s="14"/>
      <c r="X96" s="21"/>
      <c r="Y96" s="14"/>
      <c r="Z96" s="21"/>
      <c r="AA96" s="21">
        <v>58</v>
      </c>
      <c r="AB96" s="32">
        <f t="shared" si="4"/>
        <v>420</v>
      </c>
      <c r="AC96" s="18"/>
      <c r="AD96" s="13">
        <f t="shared" si="5"/>
        <v>52.5</v>
      </c>
    </row>
    <row r="97" spans="1:30" x14ac:dyDescent="0.3">
      <c r="A97" s="7">
        <v>90</v>
      </c>
      <c r="B97" s="22" t="s">
        <v>144</v>
      </c>
      <c r="C97" s="21">
        <v>38</v>
      </c>
      <c r="D97" s="21">
        <v>69</v>
      </c>
      <c r="E97" s="21"/>
      <c r="F97" s="21"/>
      <c r="G97" s="21"/>
      <c r="H97" s="21"/>
      <c r="I97" s="21">
        <v>52</v>
      </c>
      <c r="J97" s="22"/>
      <c r="K97" s="21">
        <v>65</v>
      </c>
      <c r="L97" s="21">
        <v>37</v>
      </c>
      <c r="M97" s="21"/>
      <c r="N97" s="21">
        <v>56</v>
      </c>
      <c r="O97" s="13"/>
      <c r="P97" s="13"/>
      <c r="Q97" s="13"/>
      <c r="R97" s="21"/>
      <c r="S97" s="22"/>
      <c r="T97" s="13"/>
      <c r="U97" s="21"/>
      <c r="V97" s="22"/>
      <c r="W97" s="21">
        <v>65</v>
      </c>
      <c r="X97" s="21"/>
      <c r="Y97" s="22"/>
      <c r="Z97" s="21"/>
      <c r="AA97" s="21">
        <v>38</v>
      </c>
      <c r="AB97" s="32">
        <f t="shared" si="4"/>
        <v>420</v>
      </c>
      <c r="AC97" s="18"/>
      <c r="AD97" s="13">
        <f t="shared" si="5"/>
        <v>52.5</v>
      </c>
    </row>
    <row r="98" spans="1:30" x14ac:dyDescent="0.3">
      <c r="A98" s="7">
        <v>91</v>
      </c>
      <c r="B98" s="22" t="s">
        <v>99</v>
      </c>
      <c r="C98" s="21">
        <v>41</v>
      </c>
      <c r="D98" s="21">
        <v>66</v>
      </c>
      <c r="E98" s="21"/>
      <c r="F98" s="21"/>
      <c r="G98" s="21">
        <v>51</v>
      </c>
      <c r="H98" s="21">
        <v>49</v>
      </c>
      <c r="I98" s="14"/>
      <c r="J98" s="14"/>
      <c r="K98" s="14"/>
      <c r="L98" s="21">
        <v>43</v>
      </c>
      <c r="M98" s="21"/>
      <c r="N98" s="21">
        <v>38</v>
      </c>
      <c r="O98" s="14"/>
      <c r="P98" s="14"/>
      <c r="Q98" s="22"/>
      <c r="R98" s="21">
        <v>65</v>
      </c>
      <c r="S98" s="14"/>
      <c r="T98" s="14"/>
      <c r="U98" s="21"/>
      <c r="V98" s="14"/>
      <c r="W98" s="14"/>
      <c r="X98" s="21"/>
      <c r="Y98" s="14"/>
      <c r="Z98" s="21"/>
      <c r="AA98" s="21">
        <v>66</v>
      </c>
      <c r="AB98" s="32">
        <f t="shared" si="4"/>
        <v>419</v>
      </c>
      <c r="AC98" s="18"/>
      <c r="AD98" s="13">
        <f t="shared" si="5"/>
        <v>52.375</v>
      </c>
    </row>
    <row r="99" spans="1:30" x14ac:dyDescent="0.3">
      <c r="A99" s="7">
        <v>92</v>
      </c>
      <c r="B99" s="22" t="s">
        <v>58</v>
      </c>
      <c r="C99" s="21">
        <v>69</v>
      </c>
      <c r="D99" s="21">
        <v>80</v>
      </c>
      <c r="E99" s="21">
        <v>40</v>
      </c>
      <c r="F99" s="21"/>
      <c r="G99" s="21"/>
      <c r="H99" s="21"/>
      <c r="I99" s="14"/>
      <c r="J99" s="14"/>
      <c r="K99" s="22"/>
      <c r="L99" s="21">
        <v>39</v>
      </c>
      <c r="M99" s="21">
        <v>42</v>
      </c>
      <c r="N99" s="21"/>
      <c r="O99" s="21"/>
      <c r="P99" s="21"/>
      <c r="Q99" s="14"/>
      <c r="R99" s="21"/>
      <c r="S99" s="16"/>
      <c r="T99" s="22"/>
      <c r="U99" s="21">
        <v>45</v>
      </c>
      <c r="V99" s="14"/>
      <c r="W99" s="14"/>
      <c r="X99" s="21">
        <v>50</v>
      </c>
      <c r="Y99" s="14"/>
      <c r="Z99" s="21">
        <v>53</v>
      </c>
      <c r="AA99" s="21"/>
      <c r="AB99" s="32">
        <f t="shared" si="4"/>
        <v>418</v>
      </c>
      <c r="AC99" s="18"/>
      <c r="AD99" s="13">
        <f t="shared" si="5"/>
        <v>52.25</v>
      </c>
    </row>
    <row r="100" spans="1:30" x14ac:dyDescent="0.3">
      <c r="A100" s="7">
        <v>93</v>
      </c>
      <c r="B100" s="22" t="s">
        <v>78</v>
      </c>
      <c r="C100" s="21">
        <v>33</v>
      </c>
      <c r="D100" s="21">
        <v>75</v>
      </c>
      <c r="E100" s="14"/>
      <c r="F100" s="21">
        <v>44</v>
      </c>
      <c r="G100" s="23"/>
      <c r="H100" s="21">
        <v>54</v>
      </c>
      <c r="I100" s="21"/>
      <c r="J100" s="22"/>
      <c r="K100" s="21"/>
      <c r="L100" s="21">
        <v>44</v>
      </c>
      <c r="M100" s="21">
        <v>62</v>
      </c>
      <c r="N100" s="21"/>
      <c r="O100" s="23"/>
      <c r="P100" s="23"/>
      <c r="Q100" s="23"/>
      <c r="R100" s="14"/>
      <c r="S100" s="21"/>
      <c r="T100" s="21"/>
      <c r="U100" s="21">
        <v>37</v>
      </c>
      <c r="V100" s="22"/>
      <c r="W100" s="21"/>
      <c r="X100" s="22"/>
      <c r="Y100" s="22"/>
      <c r="Z100" s="22"/>
      <c r="AA100" s="21">
        <v>69</v>
      </c>
      <c r="AB100" s="32">
        <f t="shared" si="4"/>
        <v>418</v>
      </c>
      <c r="AC100" s="18"/>
      <c r="AD100" s="13">
        <f t="shared" si="5"/>
        <v>52.25</v>
      </c>
    </row>
    <row r="101" spans="1:30" x14ac:dyDescent="0.3">
      <c r="A101" s="7">
        <v>94</v>
      </c>
      <c r="B101" s="22" t="s">
        <v>96</v>
      </c>
      <c r="C101" s="21">
        <v>28</v>
      </c>
      <c r="D101" s="21">
        <v>69</v>
      </c>
      <c r="E101" s="21"/>
      <c r="F101" s="21"/>
      <c r="G101" s="21">
        <v>45</v>
      </c>
      <c r="H101" s="21">
        <v>50</v>
      </c>
      <c r="I101" s="14"/>
      <c r="J101" s="14"/>
      <c r="K101" s="22"/>
      <c r="L101" s="21">
        <v>54</v>
      </c>
      <c r="M101" s="21"/>
      <c r="N101" s="21">
        <v>40</v>
      </c>
      <c r="O101" s="21"/>
      <c r="P101" s="21"/>
      <c r="Q101" s="13"/>
      <c r="R101" s="21">
        <v>70</v>
      </c>
      <c r="S101" s="13"/>
      <c r="T101" s="22"/>
      <c r="U101" s="21"/>
      <c r="V101" s="14"/>
      <c r="W101" s="14"/>
      <c r="X101" s="21"/>
      <c r="Y101" s="14"/>
      <c r="Z101" s="21"/>
      <c r="AA101" s="21">
        <v>62</v>
      </c>
      <c r="AB101" s="32">
        <f t="shared" si="4"/>
        <v>418</v>
      </c>
      <c r="AC101" s="18"/>
      <c r="AD101" s="13">
        <f t="shared" si="5"/>
        <v>52.25</v>
      </c>
    </row>
    <row r="102" spans="1:30" x14ac:dyDescent="0.3">
      <c r="A102" s="7">
        <v>95</v>
      </c>
      <c r="B102" s="22" t="s">
        <v>92</v>
      </c>
      <c r="C102" s="21">
        <v>32</v>
      </c>
      <c r="D102" s="21">
        <v>69</v>
      </c>
      <c r="E102" s="22"/>
      <c r="F102" s="14"/>
      <c r="G102" s="21">
        <v>54</v>
      </c>
      <c r="H102" s="21">
        <v>38</v>
      </c>
      <c r="I102" s="14"/>
      <c r="J102" s="21"/>
      <c r="K102" s="22"/>
      <c r="L102" s="21">
        <v>39</v>
      </c>
      <c r="M102" s="13"/>
      <c r="N102" s="21">
        <v>57</v>
      </c>
      <c r="O102" s="13"/>
      <c r="P102" s="22"/>
      <c r="Q102" s="13"/>
      <c r="R102" s="21">
        <v>65</v>
      </c>
      <c r="S102" s="14"/>
      <c r="T102" s="22"/>
      <c r="U102" s="22"/>
      <c r="V102" s="13"/>
      <c r="W102" s="13"/>
      <c r="X102" s="13"/>
      <c r="Y102" s="21"/>
      <c r="Z102" s="13"/>
      <c r="AA102" s="21">
        <v>62</v>
      </c>
      <c r="AB102" s="32">
        <f t="shared" si="4"/>
        <v>416</v>
      </c>
      <c r="AC102" s="18"/>
      <c r="AD102" s="13">
        <f t="shared" si="5"/>
        <v>52</v>
      </c>
    </row>
    <row r="103" spans="1:30" x14ac:dyDescent="0.3">
      <c r="A103" s="7">
        <v>96</v>
      </c>
      <c r="B103" s="22" t="s">
        <v>56</v>
      </c>
      <c r="C103" s="21">
        <v>52</v>
      </c>
      <c r="D103" s="21">
        <v>77</v>
      </c>
      <c r="E103" s="21">
        <v>49</v>
      </c>
      <c r="F103" s="14"/>
      <c r="G103" s="21"/>
      <c r="H103" s="21"/>
      <c r="I103" s="21"/>
      <c r="J103" s="22"/>
      <c r="K103" s="21"/>
      <c r="L103" s="21">
        <v>44</v>
      </c>
      <c r="M103" s="21">
        <v>56</v>
      </c>
      <c r="N103" s="21"/>
      <c r="O103" s="22"/>
      <c r="P103" s="14"/>
      <c r="Q103" s="22"/>
      <c r="R103" s="21"/>
      <c r="S103" s="14"/>
      <c r="T103" s="14"/>
      <c r="U103" s="21">
        <v>50</v>
      </c>
      <c r="V103" s="21"/>
      <c r="W103" s="21"/>
      <c r="X103" s="21">
        <v>48</v>
      </c>
      <c r="Y103" s="22"/>
      <c r="Z103" s="21">
        <v>38</v>
      </c>
      <c r="AA103" s="21"/>
      <c r="AB103" s="32">
        <f t="shared" si="4"/>
        <v>414</v>
      </c>
      <c r="AC103" s="18"/>
      <c r="AD103" s="13">
        <f t="shared" si="5"/>
        <v>51.75</v>
      </c>
    </row>
    <row r="104" spans="1:30" x14ac:dyDescent="0.3">
      <c r="A104" s="7">
        <v>97</v>
      </c>
      <c r="B104" s="22" t="s">
        <v>72</v>
      </c>
      <c r="C104" s="21">
        <v>45</v>
      </c>
      <c r="D104" s="21">
        <v>74</v>
      </c>
      <c r="E104" s="14"/>
      <c r="F104" s="21">
        <v>65</v>
      </c>
      <c r="G104" s="21"/>
      <c r="H104" s="21">
        <v>38</v>
      </c>
      <c r="I104" s="21"/>
      <c r="J104" s="22"/>
      <c r="K104" s="21"/>
      <c r="L104" s="21">
        <v>42</v>
      </c>
      <c r="M104" s="21">
        <v>35</v>
      </c>
      <c r="N104" s="21"/>
      <c r="O104" s="22"/>
      <c r="P104" s="14"/>
      <c r="Q104" s="22"/>
      <c r="R104" s="21"/>
      <c r="S104" s="14"/>
      <c r="T104" s="14"/>
      <c r="U104" s="21">
        <v>40</v>
      </c>
      <c r="V104" s="22"/>
      <c r="W104" s="21"/>
      <c r="X104" s="22"/>
      <c r="Y104" s="22"/>
      <c r="Z104" s="22"/>
      <c r="AA104" s="21">
        <v>70</v>
      </c>
      <c r="AB104" s="32">
        <f t="shared" ref="AB104:AB125" si="6">SUM(C104:AA104)</f>
        <v>409</v>
      </c>
      <c r="AC104" s="18"/>
      <c r="AD104" s="13">
        <f t="shared" ref="AD104:AD125" si="7">AVERAGE(C104:AA104)</f>
        <v>51.125</v>
      </c>
    </row>
    <row r="105" spans="1:30" x14ac:dyDescent="0.3">
      <c r="A105" s="7">
        <v>98</v>
      </c>
      <c r="B105" s="22" t="s">
        <v>115</v>
      </c>
      <c r="C105" s="21">
        <v>29</v>
      </c>
      <c r="D105" s="21">
        <v>65</v>
      </c>
      <c r="E105" s="14"/>
      <c r="F105" s="22"/>
      <c r="G105" s="21"/>
      <c r="H105" s="21">
        <v>50</v>
      </c>
      <c r="I105" s="21"/>
      <c r="J105" s="14"/>
      <c r="K105" s="21"/>
      <c r="L105" s="21">
        <v>44</v>
      </c>
      <c r="M105" s="21">
        <v>38</v>
      </c>
      <c r="N105" s="21"/>
      <c r="O105" s="14"/>
      <c r="P105" s="23"/>
      <c r="Q105" s="14"/>
      <c r="R105" s="21"/>
      <c r="S105" s="21">
        <v>54</v>
      </c>
      <c r="T105" s="21">
        <v>72</v>
      </c>
      <c r="U105" s="23"/>
      <c r="V105" s="14"/>
      <c r="W105" s="21"/>
      <c r="X105" s="14"/>
      <c r="Y105" s="14"/>
      <c r="Z105" s="14"/>
      <c r="AA105" s="21">
        <v>56</v>
      </c>
      <c r="AB105" s="32">
        <f t="shared" si="6"/>
        <v>408</v>
      </c>
      <c r="AC105" s="18"/>
      <c r="AD105" s="13">
        <f t="shared" si="7"/>
        <v>51</v>
      </c>
    </row>
    <row r="106" spans="1:30" x14ac:dyDescent="0.3">
      <c r="A106" s="7">
        <v>99</v>
      </c>
      <c r="B106" s="22" t="s">
        <v>154</v>
      </c>
      <c r="C106" s="21">
        <v>42</v>
      </c>
      <c r="D106" s="21">
        <v>69</v>
      </c>
      <c r="E106" s="14"/>
      <c r="F106" s="23"/>
      <c r="G106" s="21"/>
      <c r="H106" s="21"/>
      <c r="I106" s="21">
        <v>38</v>
      </c>
      <c r="J106" s="14"/>
      <c r="K106" s="21">
        <v>62</v>
      </c>
      <c r="L106" s="21">
        <v>58</v>
      </c>
      <c r="M106" s="23"/>
      <c r="N106" s="21">
        <v>62</v>
      </c>
      <c r="O106" s="23"/>
      <c r="P106" s="22"/>
      <c r="Q106" s="23"/>
      <c r="R106" s="21"/>
      <c r="S106" s="14"/>
      <c r="T106" s="23"/>
      <c r="U106" s="23"/>
      <c r="V106" s="14"/>
      <c r="W106" s="21">
        <v>38</v>
      </c>
      <c r="X106" s="14"/>
      <c r="Y106" s="14"/>
      <c r="Z106" s="14"/>
      <c r="AA106" s="21">
        <v>38</v>
      </c>
      <c r="AB106" s="32">
        <f t="shared" si="6"/>
        <v>407</v>
      </c>
      <c r="AC106" s="18"/>
      <c r="AD106" s="13">
        <f t="shared" si="7"/>
        <v>50.875</v>
      </c>
    </row>
    <row r="107" spans="1:30" x14ac:dyDescent="0.3">
      <c r="A107" s="7">
        <v>100</v>
      </c>
      <c r="B107" s="22" t="s">
        <v>103</v>
      </c>
      <c r="C107" s="21">
        <v>28</v>
      </c>
      <c r="D107" s="21">
        <v>69</v>
      </c>
      <c r="E107" s="23"/>
      <c r="F107" s="23"/>
      <c r="G107" s="21">
        <v>39</v>
      </c>
      <c r="H107" s="21">
        <v>47</v>
      </c>
      <c r="I107" s="21"/>
      <c r="J107" s="23"/>
      <c r="K107" s="21"/>
      <c r="L107" s="21">
        <v>42</v>
      </c>
      <c r="M107" s="21"/>
      <c r="N107" s="21">
        <v>48</v>
      </c>
      <c r="O107" s="23"/>
      <c r="P107" s="23"/>
      <c r="Q107" s="23"/>
      <c r="R107" s="21">
        <v>69</v>
      </c>
      <c r="S107" s="21"/>
      <c r="T107" s="21"/>
      <c r="U107" s="23"/>
      <c r="V107" s="23"/>
      <c r="W107" s="21"/>
      <c r="X107" s="23"/>
      <c r="Y107" s="23"/>
      <c r="Z107" s="23"/>
      <c r="AA107" s="21">
        <v>62</v>
      </c>
      <c r="AB107" s="32">
        <f t="shared" si="6"/>
        <v>404</v>
      </c>
      <c r="AC107" s="18"/>
      <c r="AD107" s="13">
        <f t="shared" si="7"/>
        <v>50.5</v>
      </c>
    </row>
    <row r="108" spans="1:30" x14ac:dyDescent="0.3">
      <c r="A108" s="7">
        <v>101</v>
      </c>
      <c r="B108" s="22" t="s">
        <v>98</v>
      </c>
      <c r="C108" s="21">
        <v>28</v>
      </c>
      <c r="D108" s="21">
        <v>70</v>
      </c>
      <c r="E108" s="21"/>
      <c r="F108" s="14"/>
      <c r="G108" s="21">
        <v>65</v>
      </c>
      <c r="H108" s="21">
        <v>39</v>
      </c>
      <c r="I108" s="14"/>
      <c r="J108" s="14"/>
      <c r="K108" s="22"/>
      <c r="L108" s="21">
        <v>47</v>
      </c>
      <c r="M108" s="21"/>
      <c r="N108" s="21">
        <v>39</v>
      </c>
      <c r="O108" s="21"/>
      <c r="P108" s="21"/>
      <c r="Q108" s="13"/>
      <c r="R108" s="21">
        <v>55</v>
      </c>
      <c r="S108" s="13"/>
      <c r="T108" s="22"/>
      <c r="U108" s="22"/>
      <c r="V108" s="14"/>
      <c r="W108" s="14"/>
      <c r="X108" s="14"/>
      <c r="Y108" s="14"/>
      <c r="Z108" s="21"/>
      <c r="AA108" s="21">
        <v>58</v>
      </c>
      <c r="AB108" s="32">
        <f t="shared" si="6"/>
        <v>401</v>
      </c>
      <c r="AC108" s="18"/>
      <c r="AD108" s="13">
        <f t="shared" si="7"/>
        <v>50.125</v>
      </c>
    </row>
    <row r="109" spans="1:30" x14ac:dyDescent="0.3">
      <c r="A109" s="7">
        <v>102</v>
      </c>
      <c r="B109" s="22" t="s">
        <v>71</v>
      </c>
      <c r="C109" s="21">
        <v>43</v>
      </c>
      <c r="D109" s="21">
        <v>82</v>
      </c>
      <c r="E109" s="14"/>
      <c r="F109" s="21">
        <v>58</v>
      </c>
      <c r="G109" s="21"/>
      <c r="H109" s="21">
        <v>45</v>
      </c>
      <c r="I109" s="14"/>
      <c r="J109" s="14"/>
      <c r="K109" s="23"/>
      <c r="L109" s="21">
        <v>33</v>
      </c>
      <c r="M109" s="21">
        <v>36</v>
      </c>
      <c r="N109" s="21"/>
      <c r="O109" s="14"/>
      <c r="P109" s="23"/>
      <c r="Q109" s="14"/>
      <c r="R109" s="21"/>
      <c r="S109" s="22"/>
      <c r="T109" s="23"/>
      <c r="U109" s="21">
        <v>38</v>
      </c>
      <c r="V109" s="14"/>
      <c r="W109" s="14"/>
      <c r="X109" s="14"/>
      <c r="Y109" s="14"/>
      <c r="Z109" s="14"/>
      <c r="AA109" s="21">
        <v>62</v>
      </c>
      <c r="AB109" s="32">
        <f t="shared" si="6"/>
        <v>397</v>
      </c>
      <c r="AC109" s="18"/>
      <c r="AD109" s="13">
        <f t="shared" si="7"/>
        <v>49.625</v>
      </c>
    </row>
    <row r="110" spans="1:30" x14ac:dyDescent="0.3">
      <c r="A110" s="7">
        <v>103</v>
      </c>
      <c r="B110" s="22" t="s">
        <v>95</v>
      </c>
      <c r="C110" s="21">
        <v>22</v>
      </c>
      <c r="D110" s="21">
        <v>55</v>
      </c>
      <c r="E110" s="23"/>
      <c r="F110" s="21"/>
      <c r="G110" s="21">
        <v>38</v>
      </c>
      <c r="H110" s="21">
        <v>62</v>
      </c>
      <c r="I110" s="23"/>
      <c r="J110" s="21"/>
      <c r="K110" s="23"/>
      <c r="L110" s="21">
        <v>52</v>
      </c>
      <c r="M110" s="21"/>
      <c r="N110" s="21">
        <v>39</v>
      </c>
      <c r="O110" s="23"/>
      <c r="P110" s="23"/>
      <c r="Q110" s="23"/>
      <c r="R110" s="21">
        <v>66</v>
      </c>
      <c r="S110" s="23"/>
      <c r="T110" s="23"/>
      <c r="U110" s="21"/>
      <c r="V110" s="23"/>
      <c r="W110" s="23"/>
      <c r="X110" s="23"/>
      <c r="Y110" s="21"/>
      <c r="Z110" s="23"/>
      <c r="AA110" s="21">
        <v>58</v>
      </c>
      <c r="AB110" s="32">
        <f t="shared" si="6"/>
        <v>392</v>
      </c>
      <c r="AC110" s="18"/>
      <c r="AD110" s="13">
        <f t="shared" si="7"/>
        <v>49</v>
      </c>
    </row>
    <row r="111" spans="1:30" x14ac:dyDescent="0.3">
      <c r="A111" s="7">
        <v>104</v>
      </c>
      <c r="B111" s="22" t="s">
        <v>67</v>
      </c>
      <c r="C111" s="21">
        <v>69</v>
      </c>
      <c r="D111" s="21">
        <v>69</v>
      </c>
      <c r="E111" s="21"/>
      <c r="F111" s="21">
        <v>32</v>
      </c>
      <c r="G111" s="21"/>
      <c r="H111" s="21">
        <v>28</v>
      </c>
      <c r="I111" s="21"/>
      <c r="J111" s="14"/>
      <c r="K111" s="21"/>
      <c r="L111" s="21">
        <v>38</v>
      </c>
      <c r="M111" s="21">
        <v>35</v>
      </c>
      <c r="N111" s="21"/>
      <c r="O111" s="21"/>
      <c r="P111" s="21"/>
      <c r="Q111" s="23"/>
      <c r="R111" s="21"/>
      <c r="S111" s="14"/>
      <c r="T111" s="22"/>
      <c r="U111" s="21">
        <v>57</v>
      </c>
      <c r="V111" s="22"/>
      <c r="W111" s="21"/>
      <c r="X111" s="22"/>
      <c r="Y111" s="22"/>
      <c r="Z111" s="21"/>
      <c r="AA111" s="21">
        <v>62</v>
      </c>
      <c r="AB111" s="32">
        <f t="shared" si="6"/>
        <v>390</v>
      </c>
      <c r="AC111" s="18"/>
      <c r="AD111" s="13">
        <f t="shared" si="7"/>
        <v>48.75</v>
      </c>
    </row>
    <row r="112" spans="1:30" x14ac:dyDescent="0.3">
      <c r="A112" s="7">
        <v>105</v>
      </c>
      <c r="B112" s="22" t="s">
        <v>152</v>
      </c>
      <c r="C112" s="21">
        <v>37</v>
      </c>
      <c r="D112" s="21">
        <v>75</v>
      </c>
      <c r="E112" s="23"/>
      <c r="F112" s="23"/>
      <c r="G112" s="21"/>
      <c r="H112" s="21"/>
      <c r="I112" s="21">
        <v>47</v>
      </c>
      <c r="J112" s="23"/>
      <c r="K112" s="21">
        <v>45</v>
      </c>
      <c r="L112" s="21">
        <v>30</v>
      </c>
      <c r="M112" s="23"/>
      <c r="N112" s="21">
        <v>44</v>
      </c>
      <c r="O112" s="23"/>
      <c r="P112" s="23"/>
      <c r="Q112" s="23"/>
      <c r="R112" s="21"/>
      <c r="S112" s="23"/>
      <c r="T112" s="23"/>
      <c r="U112" s="23"/>
      <c r="V112" s="23"/>
      <c r="W112" s="21">
        <v>55</v>
      </c>
      <c r="X112" s="23"/>
      <c r="Y112" s="23"/>
      <c r="Z112" s="23"/>
      <c r="AA112" s="21">
        <v>52</v>
      </c>
      <c r="AB112" s="32">
        <f t="shared" si="6"/>
        <v>385</v>
      </c>
      <c r="AC112" s="18"/>
      <c r="AD112" s="13">
        <f t="shared" si="7"/>
        <v>48.125</v>
      </c>
    </row>
    <row r="113" spans="1:30" x14ac:dyDescent="0.3">
      <c r="A113" s="7">
        <v>106</v>
      </c>
      <c r="B113" s="22" t="s">
        <v>68</v>
      </c>
      <c r="C113" s="21">
        <v>39</v>
      </c>
      <c r="D113" s="21">
        <v>65</v>
      </c>
      <c r="E113" s="23"/>
      <c r="F113" s="21">
        <v>42</v>
      </c>
      <c r="G113" s="23"/>
      <c r="H113" s="21">
        <v>54</v>
      </c>
      <c r="I113" s="21"/>
      <c r="J113" s="21"/>
      <c r="K113" s="21"/>
      <c r="L113" s="21">
        <v>38</v>
      </c>
      <c r="M113" s="21">
        <v>44</v>
      </c>
      <c r="N113" s="21"/>
      <c r="O113" s="23"/>
      <c r="P113" s="23"/>
      <c r="Q113" s="23"/>
      <c r="R113" s="23"/>
      <c r="S113" s="21"/>
      <c r="T113" s="21"/>
      <c r="U113" s="21">
        <v>50</v>
      </c>
      <c r="V113" s="23"/>
      <c r="W113" s="21"/>
      <c r="X113" s="23"/>
      <c r="Y113" s="21"/>
      <c r="Z113" s="23"/>
      <c r="AA113" s="21">
        <v>52</v>
      </c>
      <c r="AB113" s="32">
        <f t="shared" si="6"/>
        <v>384</v>
      </c>
      <c r="AC113" s="18"/>
      <c r="AD113" s="13">
        <f t="shared" si="7"/>
        <v>48</v>
      </c>
    </row>
    <row r="114" spans="1:30" x14ac:dyDescent="0.3">
      <c r="A114" s="7">
        <v>107</v>
      </c>
      <c r="B114" s="22" t="s">
        <v>69</v>
      </c>
      <c r="C114" s="21">
        <v>38</v>
      </c>
      <c r="D114" s="21">
        <v>69</v>
      </c>
      <c r="E114" s="23"/>
      <c r="F114" s="21">
        <v>49</v>
      </c>
      <c r="G114" s="23"/>
      <c r="H114" s="21">
        <v>32</v>
      </c>
      <c r="I114" s="21"/>
      <c r="J114" s="23"/>
      <c r="K114" s="21"/>
      <c r="L114" s="21">
        <v>28</v>
      </c>
      <c r="M114" s="21">
        <v>47</v>
      </c>
      <c r="N114" s="21"/>
      <c r="O114" s="23"/>
      <c r="P114" s="23"/>
      <c r="Q114" s="23"/>
      <c r="R114" s="23"/>
      <c r="S114" s="21"/>
      <c r="T114" s="21"/>
      <c r="U114" s="21">
        <v>49</v>
      </c>
      <c r="V114" s="23"/>
      <c r="W114" s="21"/>
      <c r="X114" s="23"/>
      <c r="Y114" s="23"/>
      <c r="Z114" s="23"/>
      <c r="AA114" s="21">
        <v>71</v>
      </c>
      <c r="AB114" s="32">
        <f t="shared" si="6"/>
        <v>383</v>
      </c>
      <c r="AC114" s="18"/>
      <c r="AD114" s="13">
        <f t="shared" si="7"/>
        <v>47.875</v>
      </c>
    </row>
    <row r="115" spans="1:30" x14ac:dyDescent="0.3">
      <c r="A115" s="7">
        <v>108</v>
      </c>
      <c r="B115" s="22" t="s">
        <v>112</v>
      </c>
      <c r="C115" s="21">
        <v>42</v>
      </c>
      <c r="D115" s="21">
        <v>55</v>
      </c>
      <c r="E115" s="22"/>
      <c r="F115" s="14"/>
      <c r="G115" s="21"/>
      <c r="H115" s="21">
        <v>40</v>
      </c>
      <c r="I115" s="14"/>
      <c r="J115" s="22"/>
      <c r="K115" s="14"/>
      <c r="L115" s="21">
        <v>29</v>
      </c>
      <c r="M115" s="21">
        <v>40</v>
      </c>
      <c r="N115" s="21"/>
      <c r="O115" s="22"/>
      <c r="P115" s="14"/>
      <c r="Q115" s="22"/>
      <c r="R115" s="21"/>
      <c r="S115" s="21">
        <v>62</v>
      </c>
      <c r="T115" s="21">
        <v>55</v>
      </c>
      <c r="U115" s="14"/>
      <c r="V115" s="22"/>
      <c r="W115" s="22"/>
      <c r="X115" s="22"/>
      <c r="Y115" s="22"/>
      <c r="Z115" s="22"/>
      <c r="AA115" s="21">
        <v>59</v>
      </c>
      <c r="AB115" s="32">
        <f t="shared" si="6"/>
        <v>382</v>
      </c>
      <c r="AC115" s="18"/>
      <c r="AD115" s="13">
        <f t="shared" si="7"/>
        <v>47.75</v>
      </c>
    </row>
    <row r="116" spans="1:30" x14ac:dyDescent="0.3">
      <c r="A116" s="7">
        <v>109</v>
      </c>
      <c r="B116" s="22" t="s">
        <v>77</v>
      </c>
      <c r="C116" s="21">
        <v>42</v>
      </c>
      <c r="D116" s="21">
        <v>80</v>
      </c>
      <c r="E116" s="21"/>
      <c r="F116" s="21">
        <v>47</v>
      </c>
      <c r="G116" s="13"/>
      <c r="H116" s="21">
        <v>28</v>
      </c>
      <c r="I116" s="14"/>
      <c r="J116" s="14"/>
      <c r="K116" s="22"/>
      <c r="L116" s="21">
        <v>45</v>
      </c>
      <c r="M116" s="21">
        <v>48</v>
      </c>
      <c r="N116" s="22"/>
      <c r="O116" s="21"/>
      <c r="P116" s="21"/>
      <c r="Q116" s="21"/>
      <c r="R116" s="22"/>
      <c r="S116" s="22"/>
      <c r="T116" s="17"/>
      <c r="U116" s="21">
        <v>29</v>
      </c>
      <c r="V116" s="14"/>
      <c r="W116" s="14"/>
      <c r="X116" s="14"/>
      <c r="Y116" s="14"/>
      <c r="Z116" s="21"/>
      <c r="AA116" s="21">
        <v>52</v>
      </c>
      <c r="AB116" s="32">
        <f t="shared" si="6"/>
        <v>371</v>
      </c>
      <c r="AC116" s="18"/>
      <c r="AD116" s="13">
        <f t="shared" si="7"/>
        <v>46.375</v>
      </c>
    </row>
    <row r="117" spans="1:30" x14ac:dyDescent="0.3">
      <c r="A117" s="7">
        <v>110</v>
      </c>
      <c r="B117" s="22" t="s">
        <v>89</v>
      </c>
      <c r="C117" s="21">
        <v>22</v>
      </c>
      <c r="D117" s="21">
        <v>75</v>
      </c>
      <c r="E117" s="21"/>
      <c r="F117" s="21"/>
      <c r="G117" s="21">
        <v>38</v>
      </c>
      <c r="H117" s="21">
        <v>34</v>
      </c>
      <c r="I117" s="14"/>
      <c r="J117" s="14"/>
      <c r="K117" s="22"/>
      <c r="L117" s="21">
        <v>32</v>
      </c>
      <c r="M117" s="21"/>
      <c r="N117" s="21">
        <v>39</v>
      </c>
      <c r="O117" s="14"/>
      <c r="P117" s="21"/>
      <c r="Q117" s="21"/>
      <c r="R117" s="21">
        <v>73</v>
      </c>
      <c r="S117" s="13"/>
      <c r="T117" s="22"/>
      <c r="U117" s="21"/>
      <c r="V117" s="14"/>
      <c r="W117" s="14"/>
      <c r="X117" s="21"/>
      <c r="Y117" s="14"/>
      <c r="Z117" s="21"/>
      <c r="AA117" s="21">
        <v>49</v>
      </c>
      <c r="AB117" s="32">
        <f t="shared" si="6"/>
        <v>362</v>
      </c>
      <c r="AC117" s="18"/>
      <c r="AD117" s="13">
        <f t="shared" si="7"/>
        <v>45.25</v>
      </c>
    </row>
    <row r="118" spans="1:30" x14ac:dyDescent="0.3">
      <c r="A118" s="7">
        <v>111</v>
      </c>
      <c r="B118" s="22" t="s">
        <v>75</v>
      </c>
      <c r="C118" s="21">
        <v>42</v>
      </c>
      <c r="D118" s="21">
        <v>75</v>
      </c>
      <c r="E118" s="21"/>
      <c r="F118" s="21">
        <v>47</v>
      </c>
      <c r="G118" s="22"/>
      <c r="H118" s="21">
        <v>50</v>
      </c>
      <c r="I118" s="14"/>
      <c r="J118" s="14"/>
      <c r="K118" s="22"/>
      <c r="L118" s="21">
        <v>29</v>
      </c>
      <c r="M118" s="21">
        <v>40</v>
      </c>
      <c r="N118" s="23"/>
      <c r="O118" s="21"/>
      <c r="P118" s="21"/>
      <c r="Q118" s="21"/>
      <c r="R118" s="22"/>
      <c r="S118" s="14"/>
      <c r="T118" s="23"/>
      <c r="U118" s="21">
        <v>39</v>
      </c>
      <c r="V118" s="14"/>
      <c r="W118" s="14"/>
      <c r="X118" s="21"/>
      <c r="Y118" s="14"/>
      <c r="Z118" s="21"/>
      <c r="AA118" s="21">
        <v>39</v>
      </c>
      <c r="AB118" s="32">
        <f t="shared" si="6"/>
        <v>361</v>
      </c>
      <c r="AC118" s="18"/>
      <c r="AD118" s="13">
        <f t="shared" si="7"/>
        <v>45.125</v>
      </c>
    </row>
    <row r="119" spans="1:30" x14ac:dyDescent="0.3">
      <c r="A119" s="7">
        <v>112</v>
      </c>
      <c r="B119" s="22" t="s">
        <v>70</v>
      </c>
      <c r="C119" s="21">
        <v>38</v>
      </c>
      <c r="D119" s="21">
        <v>70</v>
      </c>
      <c r="E119" s="21"/>
      <c r="F119" s="21">
        <v>39</v>
      </c>
      <c r="G119" s="22"/>
      <c r="H119" s="21">
        <v>42</v>
      </c>
      <c r="I119" s="14"/>
      <c r="J119" s="14"/>
      <c r="K119" s="22"/>
      <c r="L119" s="21">
        <v>39</v>
      </c>
      <c r="M119" s="21">
        <v>42</v>
      </c>
      <c r="N119" s="22"/>
      <c r="O119" s="21"/>
      <c r="P119" s="21"/>
      <c r="Q119" s="13"/>
      <c r="R119" s="22"/>
      <c r="S119" s="21"/>
      <c r="T119" s="21"/>
      <c r="U119" s="21">
        <v>35</v>
      </c>
      <c r="V119" s="14"/>
      <c r="W119" s="14"/>
      <c r="X119" s="14"/>
      <c r="Y119" s="14"/>
      <c r="Z119" s="21"/>
      <c r="AA119" s="21">
        <v>54</v>
      </c>
      <c r="AB119" s="32">
        <f t="shared" si="6"/>
        <v>359</v>
      </c>
      <c r="AC119" s="18"/>
      <c r="AD119" s="13">
        <f t="shared" si="7"/>
        <v>44.875</v>
      </c>
    </row>
    <row r="120" spans="1:30" x14ac:dyDescent="0.3">
      <c r="A120" s="7">
        <v>113</v>
      </c>
      <c r="B120" s="22" t="s">
        <v>147</v>
      </c>
      <c r="C120" s="21">
        <v>38</v>
      </c>
      <c r="D120" s="21">
        <v>59</v>
      </c>
      <c r="E120" s="23"/>
      <c r="F120" s="23"/>
      <c r="G120" s="21"/>
      <c r="H120" s="21"/>
      <c r="I120" s="21">
        <v>45</v>
      </c>
      <c r="J120" s="23"/>
      <c r="K120" s="21">
        <v>38</v>
      </c>
      <c r="L120" s="21">
        <v>34</v>
      </c>
      <c r="M120" s="21"/>
      <c r="N120" s="21">
        <v>54</v>
      </c>
      <c r="O120" s="23"/>
      <c r="P120" s="23"/>
      <c r="Q120" s="23"/>
      <c r="R120" s="21"/>
      <c r="S120" s="21"/>
      <c r="T120" s="21"/>
      <c r="U120" s="23"/>
      <c r="V120" s="23"/>
      <c r="W120" s="21">
        <v>44</v>
      </c>
      <c r="X120" s="23"/>
      <c r="Y120" s="23"/>
      <c r="Z120" s="23"/>
      <c r="AA120" s="21">
        <v>45</v>
      </c>
      <c r="AB120" s="32">
        <f t="shared" si="6"/>
        <v>357</v>
      </c>
      <c r="AC120" s="18"/>
      <c r="AD120" s="13">
        <f t="shared" si="7"/>
        <v>44.625</v>
      </c>
    </row>
    <row r="121" spans="1:30" s="24" customFormat="1" ht="15" customHeight="1" x14ac:dyDescent="0.2">
      <c r="A121" s="7">
        <v>114</v>
      </c>
      <c r="B121" s="22" t="s">
        <v>94</v>
      </c>
      <c r="C121" s="21">
        <v>32</v>
      </c>
      <c r="D121" s="21">
        <v>65</v>
      </c>
      <c r="E121" s="21"/>
      <c r="F121" s="22"/>
      <c r="G121" s="21">
        <v>37</v>
      </c>
      <c r="H121" s="21">
        <v>29</v>
      </c>
      <c r="I121" s="14"/>
      <c r="J121" s="22"/>
      <c r="K121" s="14"/>
      <c r="L121" s="21">
        <v>42</v>
      </c>
      <c r="M121" s="21"/>
      <c r="N121" s="21">
        <v>42</v>
      </c>
      <c r="O121" s="22"/>
      <c r="P121" s="14"/>
      <c r="Q121" s="14"/>
      <c r="R121" s="21">
        <v>54</v>
      </c>
      <c r="S121" s="14"/>
      <c r="T121" s="14"/>
      <c r="U121" s="21"/>
      <c r="V121" s="22"/>
      <c r="W121" s="22"/>
      <c r="X121" s="21"/>
      <c r="Y121" s="22"/>
      <c r="Z121" s="21"/>
      <c r="AA121" s="21">
        <v>53</v>
      </c>
      <c r="AB121" s="32">
        <f t="shared" si="6"/>
        <v>354</v>
      </c>
      <c r="AC121" s="18"/>
      <c r="AD121" s="13">
        <f t="shared" si="7"/>
        <v>44.25</v>
      </c>
    </row>
    <row r="122" spans="1:30" x14ac:dyDescent="0.3">
      <c r="A122" s="7">
        <v>115</v>
      </c>
      <c r="B122" s="22" t="s">
        <v>97</v>
      </c>
      <c r="C122" s="21">
        <v>39</v>
      </c>
      <c r="D122" s="21">
        <v>55</v>
      </c>
      <c r="E122" s="21"/>
      <c r="F122" s="22"/>
      <c r="G122" s="21">
        <v>42</v>
      </c>
      <c r="H122" s="21">
        <v>50</v>
      </c>
      <c r="I122" s="14"/>
      <c r="J122" s="14"/>
      <c r="K122" s="23"/>
      <c r="L122" s="21">
        <v>28</v>
      </c>
      <c r="M122" s="21"/>
      <c r="N122" s="21">
        <v>40</v>
      </c>
      <c r="O122" s="21"/>
      <c r="P122" s="21"/>
      <c r="Q122" s="14"/>
      <c r="R122" s="21">
        <v>59</v>
      </c>
      <c r="S122" s="22"/>
      <c r="T122" s="23"/>
      <c r="U122" s="23"/>
      <c r="V122" s="14"/>
      <c r="W122" s="14"/>
      <c r="X122" s="14"/>
      <c r="Y122" s="14"/>
      <c r="Z122" s="21"/>
      <c r="AA122" s="21">
        <v>38</v>
      </c>
      <c r="AB122" s="32">
        <f t="shared" si="6"/>
        <v>351</v>
      </c>
      <c r="AC122" s="18"/>
      <c r="AD122" s="13">
        <f t="shared" si="7"/>
        <v>43.875</v>
      </c>
    </row>
    <row r="123" spans="1:30" x14ac:dyDescent="0.3">
      <c r="A123" s="7">
        <v>116</v>
      </c>
      <c r="B123" s="22" t="s">
        <v>73</v>
      </c>
      <c r="C123" s="21">
        <v>39</v>
      </c>
      <c r="D123" s="21">
        <v>59</v>
      </c>
      <c r="E123" s="21"/>
      <c r="F123" s="21">
        <v>35</v>
      </c>
      <c r="G123" s="23"/>
      <c r="H123" s="21">
        <v>32</v>
      </c>
      <c r="I123" s="21"/>
      <c r="J123" s="23"/>
      <c r="K123" s="21"/>
      <c r="L123" s="21">
        <v>52</v>
      </c>
      <c r="M123" s="21">
        <v>42</v>
      </c>
      <c r="N123" s="21"/>
      <c r="O123" s="23"/>
      <c r="P123" s="23"/>
      <c r="Q123" s="23"/>
      <c r="R123" s="23"/>
      <c r="S123" s="23"/>
      <c r="T123" s="23"/>
      <c r="U123" s="21">
        <v>38</v>
      </c>
      <c r="V123" s="21"/>
      <c r="W123" s="21"/>
      <c r="X123" s="21"/>
      <c r="Y123" s="23"/>
      <c r="Z123" s="21"/>
      <c r="AA123" s="21">
        <v>53</v>
      </c>
      <c r="AB123" s="32">
        <f t="shared" si="6"/>
        <v>350</v>
      </c>
      <c r="AC123" s="18"/>
      <c r="AD123" s="13">
        <f t="shared" si="7"/>
        <v>43.75</v>
      </c>
    </row>
    <row r="124" spans="1:30" x14ac:dyDescent="0.3">
      <c r="A124" s="7">
        <v>117</v>
      </c>
      <c r="B124" s="22" t="s">
        <v>79</v>
      </c>
      <c r="C124" s="21">
        <v>38</v>
      </c>
      <c r="D124" s="21">
        <v>59</v>
      </c>
      <c r="E124" s="21"/>
      <c r="F124" s="21">
        <v>44</v>
      </c>
      <c r="G124" s="22"/>
      <c r="H124" s="21">
        <v>40</v>
      </c>
      <c r="I124" s="21"/>
      <c r="J124" s="14"/>
      <c r="K124" s="21"/>
      <c r="L124" s="21">
        <v>37</v>
      </c>
      <c r="M124" s="21">
        <v>37</v>
      </c>
      <c r="N124" s="21"/>
      <c r="O124" s="21"/>
      <c r="P124" s="21"/>
      <c r="Q124" s="22"/>
      <c r="R124" s="13"/>
      <c r="S124" s="13"/>
      <c r="T124" s="22"/>
      <c r="U124" s="21">
        <v>38</v>
      </c>
      <c r="V124" s="14"/>
      <c r="W124" s="21"/>
      <c r="X124" s="14"/>
      <c r="Y124" s="14"/>
      <c r="Z124" s="21"/>
      <c r="AA124" s="21">
        <v>54</v>
      </c>
      <c r="AB124" s="32">
        <f t="shared" si="6"/>
        <v>347</v>
      </c>
      <c r="AC124" s="18"/>
      <c r="AD124" s="13">
        <f t="shared" si="7"/>
        <v>43.375</v>
      </c>
    </row>
    <row r="125" spans="1:30" x14ac:dyDescent="0.3">
      <c r="A125" s="7">
        <v>118</v>
      </c>
      <c r="B125" s="22" t="s">
        <v>74</v>
      </c>
      <c r="C125" s="21">
        <v>45</v>
      </c>
      <c r="D125" s="21">
        <v>62</v>
      </c>
      <c r="E125" s="22"/>
      <c r="F125" s="21">
        <v>39</v>
      </c>
      <c r="G125" s="21"/>
      <c r="H125" s="21">
        <v>38</v>
      </c>
      <c r="I125" s="14"/>
      <c r="J125" s="22"/>
      <c r="K125" s="14"/>
      <c r="L125" s="21">
        <v>31</v>
      </c>
      <c r="M125" s="21">
        <v>38</v>
      </c>
      <c r="N125" s="21"/>
      <c r="O125" s="22"/>
      <c r="P125" s="14"/>
      <c r="Q125" s="22"/>
      <c r="R125" s="21"/>
      <c r="S125" s="21"/>
      <c r="T125" s="21"/>
      <c r="U125" s="21">
        <v>42</v>
      </c>
      <c r="V125" s="22"/>
      <c r="W125" s="22"/>
      <c r="X125" s="22"/>
      <c r="Y125" s="22"/>
      <c r="Z125" s="22"/>
      <c r="AA125" s="21">
        <v>47</v>
      </c>
      <c r="AB125" s="32">
        <f t="shared" si="6"/>
        <v>342</v>
      </c>
      <c r="AC125" s="18"/>
      <c r="AD125" s="13">
        <f t="shared" si="7"/>
        <v>42.75</v>
      </c>
    </row>
    <row r="126" spans="1:30" x14ac:dyDescent="0.3">
      <c r="AB126" s="32"/>
      <c r="AC126" s="18"/>
      <c r="AD126" s="13"/>
    </row>
    <row r="127" spans="1:30" x14ac:dyDescent="0.3">
      <c r="A127" s="24"/>
      <c r="C127" s="24">
        <f t="shared" ref="C127:AA127" si="8">AVERAGE(C8:C125)</f>
        <v>55.347457627118644</v>
      </c>
      <c r="D127" s="24">
        <f t="shared" si="8"/>
        <v>78.516949152542367</v>
      </c>
      <c r="E127" s="24">
        <f t="shared" si="8"/>
        <v>73.400000000000006</v>
      </c>
      <c r="F127" s="24">
        <f t="shared" si="8"/>
        <v>58.833333333333336</v>
      </c>
      <c r="G127" s="24">
        <f t="shared" si="8"/>
        <v>57.291666666666664</v>
      </c>
      <c r="H127" s="24">
        <f t="shared" si="8"/>
        <v>53.396551724137929</v>
      </c>
      <c r="I127" s="24">
        <f t="shared" si="8"/>
        <v>59.6875</v>
      </c>
      <c r="J127" s="24">
        <f t="shared" si="8"/>
        <v>64.571428571428569</v>
      </c>
      <c r="K127" s="24">
        <f t="shared" si="8"/>
        <v>67.125</v>
      </c>
      <c r="L127" s="24">
        <f t="shared" si="8"/>
        <v>57.245762711864408</v>
      </c>
      <c r="M127" s="24">
        <f t="shared" si="8"/>
        <v>64.619718309859152</v>
      </c>
      <c r="N127" s="24">
        <f t="shared" si="8"/>
        <v>59.787234042553195</v>
      </c>
      <c r="O127" s="24">
        <f t="shared" si="8"/>
        <v>71.0625</v>
      </c>
      <c r="P127" s="24">
        <f t="shared" si="8"/>
        <v>70.833333333333329</v>
      </c>
      <c r="Q127" s="24">
        <f t="shared" si="8"/>
        <v>78.125</v>
      </c>
      <c r="R127" s="24">
        <f t="shared" si="8"/>
        <v>68.708333333333329</v>
      </c>
      <c r="S127" s="24">
        <f t="shared" si="8"/>
        <v>70.833333333333329</v>
      </c>
      <c r="T127" s="24">
        <f t="shared" si="8"/>
        <v>71.916666666666671</v>
      </c>
      <c r="U127" s="24">
        <f t="shared" si="8"/>
        <v>59.108108108108105</v>
      </c>
      <c r="V127" s="24">
        <f t="shared" si="8"/>
        <v>90.333333333333329</v>
      </c>
      <c r="W127" s="24">
        <f t="shared" si="8"/>
        <v>65.0625</v>
      </c>
      <c r="X127" s="24">
        <f t="shared" si="8"/>
        <v>70.692307692307693</v>
      </c>
      <c r="Y127" s="24">
        <f t="shared" si="8"/>
        <v>65.428571428571431</v>
      </c>
      <c r="Z127" s="24">
        <f t="shared" si="8"/>
        <v>71.023255813953483</v>
      </c>
      <c r="AA127" s="24">
        <f t="shared" si="8"/>
        <v>65.15384615384616</v>
      </c>
      <c r="AB127" s="32">
        <f>SUM(C127:AA127)</f>
        <v>1668.1036913362909</v>
      </c>
      <c r="AC127" s="18"/>
      <c r="AD127" s="13">
        <f>AVERAGE(C127:AA127)</f>
        <v>66.724147653451638</v>
      </c>
    </row>
  </sheetData>
  <sortState ref="B8:AD125">
    <sortCondition descending="1" ref="AD125"/>
  </sortState>
  <mergeCells count="5">
    <mergeCell ref="A1:D5"/>
    <mergeCell ref="E1:AD1"/>
    <mergeCell ref="E2:AD2"/>
    <mergeCell ref="E3:AD3"/>
    <mergeCell ref="E4:AD4"/>
  </mergeCells>
  <printOptions gridLines="1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"/>
  <sheetViews>
    <sheetView workbookViewId="0">
      <selection activeCell="N9" sqref="N9"/>
    </sheetView>
  </sheetViews>
  <sheetFormatPr defaultRowHeight="14.4" x14ac:dyDescent="0.3"/>
  <cols>
    <col min="1" max="1" width="2.5546875" style="19" customWidth="1"/>
    <col min="2" max="2" width="11.109375" style="24" customWidth="1"/>
    <col min="3" max="27" width="2.6640625" style="24" customWidth="1"/>
    <col min="28" max="28" width="4.33203125" style="33" customWidth="1"/>
    <col min="29" max="29" width="0.6640625" customWidth="1"/>
    <col min="30" max="30" width="3.44140625" style="24" customWidth="1"/>
  </cols>
  <sheetData>
    <row r="1" spans="1:30" x14ac:dyDescent="0.3">
      <c r="A1" s="67" t="s">
        <v>184</v>
      </c>
      <c r="B1" s="67"/>
      <c r="C1" s="67"/>
      <c r="D1" s="67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67"/>
      <c r="B2" s="67"/>
      <c r="C2" s="67"/>
      <c r="D2" s="67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x14ac:dyDescent="0.3">
      <c r="A3" s="67"/>
      <c r="B3" s="67"/>
      <c r="C3" s="67"/>
      <c r="D3" s="67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0" x14ac:dyDescent="0.3">
      <c r="A4" s="67"/>
      <c r="B4" s="67"/>
      <c r="C4" s="67"/>
      <c r="D4" s="67"/>
      <c r="E4" s="66" t="s">
        <v>175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0" x14ac:dyDescent="0.3">
      <c r="A5" s="67"/>
      <c r="B5" s="67"/>
      <c r="C5" s="67"/>
      <c r="D5" s="67"/>
      <c r="N5" s="38"/>
      <c r="O5" s="17"/>
      <c r="AB5" s="30"/>
      <c r="AC5" s="11"/>
      <c r="AD5" s="28"/>
    </row>
    <row r="6" spans="1:30" ht="123.6" x14ac:dyDescent="0.3">
      <c r="A6" s="20" t="s">
        <v>171</v>
      </c>
      <c r="B6" s="34" t="s">
        <v>172</v>
      </c>
      <c r="C6" s="39" t="s">
        <v>3</v>
      </c>
      <c r="D6" s="39" t="s">
        <v>19</v>
      </c>
      <c r="E6" s="39" t="s">
        <v>163</v>
      </c>
      <c r="F6" s="39" t="s">
        <v>20</v>
      </c>
      <c r="G6" s="39" t="s">
        <v>174</v>
      </c>
      <c r="H6" s="39" t="s">
        <v>168</v>
      </c>
      <c r="I6" s="39" t="s">
        <v>159</v>
      </c>
      <c r="J6" s="39" t="s">
        <v>140</v>
      </c>
      <c r="K6" s="39" t="s">
        <v>160</v>
      </c>
      <c r="L6" s="39" t="s">
        <v>21</v>
      </c>
      <c r="M6" s="39" t="s">
        <v>22</v>
      </c>
      <c r="N6" s="39" t="s">
        <v>169</v>
      </c>
      <c r="O6" s="39" t="s">
        <v>46</v>
      </c>
      <c r="P6" s="39" t="s">
        <v>23</v>
      </c>
      <c r="Q6" s="39" t="s">
        <v>24</v>
      </c>
      <c r="R6" s="39" t="s">
        <v>109</v>
      </c>
      <c r="S6" s="39" t="s">
        <v>123</v>
      </c>
      <c r="T6" s="39" t="s">
        <v>124</v>
      </c>
      <c r="U6" s="39" t="s">
        <v>173</v>
      </c>
      <c r="V6" s="39" t="s">
        <v>131</v>
      </c>
      <c r="W6" s="39" t="s">
        <v>179</v>
      </c>
      <c r="X6" s="39" t="s">
        <v>164</v>
      </c>
      <c r="Y6" s="39" t="s">
        <v>141</v>
      </c>
      <c r="Z6" s="39" t="s">
        <v>165</v>
      </c>
      <c r="AA6" s="39" t="s">
        <v>47</v>
      </c>
      <c r="AB6" s="31" t="s">
        <v>166</v>
      </c>
      <c r="AC6" s="12"/>
      <c r="AD6" s="29" t="s">
        <v>167</v>
      </c>
    </row>
    <row r="7" spans="1:30" x14ac:dyDescent="0.3">
      <c r="N7" s="38"/>
      <c r="O7" s="17"/>
      <c r="AB7" s="30"/>
      <c r="AC7" s="11"/>
      <c r="AD7" s="28"/>
    </row>
    <row r="8" spans="1:30" x14ac:dyDescent="0.3">
      <c r="A8" s="7">
        <v>1</v>
      </c>
      <c r="B8" s="35" t="s">
        <v>28</v>
      </c>
      <c r="C8" s="21">
        <v>91</v>
      </c>
      <c r="D8" s="21">
        <v>98</v>
      </c>
      <c r="E8" s="21">
        <v>96</v>
      </c>
      <c r="F8" s="13"/>
      <c r="G8" s="21"/>
      <c r="H8" s="21"/>
      <c r="I8" s="14"/>
      <c r="J8" s="22"/>
      <c r="K8" s="14"/>
      <c r="L8" s="21">
        <v>94</v>
      </c>
      <c r="M8" s="21">
        <v>97</v>
      </c>
      <c r="N8" s="21"/>
      <c r="O8" s="21">
        <v>94</v>
      </c>
      <c r="P8" s="21">
        <v>95</v>
      </c>
      <c r="Q8" s="22"/>
      <c r="R8" s="21"/>
      <c r="S8" s="13"/>
      <c r="T8" s="13"/>
      <c r="U8" s="13"/>
      <c r="V8" s="22"/>
      <c r="W8" s="22"/>
      <c r="X8" s="22"/>
      <c r="Y8" s="22"/>
      <c r="Z8" s="21">
        <v>91</v>
      </c>
      <c r="AA8" s="21">
        <v>97</v>
      </c>
      <c r="AB8" s="32">
        <f t="shared" ref="AB8:AB39" si="0">SUM(C8:AA8)</f>
        <v>853</v>
      </c>
      <c r="AC8" s="18"/>
      <c r="AD8" s="13">
        <f t="shared" ref="AD8:AD39" si="1">AVERAGE(C8:AA8)</f>
        <v>94.777777777777771</v>
      </c>
    </row>
    <row r="9" spans="1:30" x14ac:dyDescent="0.3">
      <c r="A9" s="7">
        <v>2</v>
      </c>
      <c r="B9" s="36" t="s">
        <v>125</v>
      </c>
      <c r="C9" s="21">
        <v>94</v>
      </c>
      <c r="D9" s="21">
        <v>96</v>
      </c>
      <c r="E9" s="21">
        <v>90</v>
      </c>
      <c r="F9" s="21"/>
      <c r="G9" s="21"/>
      <c r="H9" s="21">
        <v>90</v>
      </c>
      <c r="I9" s="14"/>
      <c r="J9" s="14"/>
      <c r="K9" s="22"/>
      <c r="L9" s="21">
        <v>92</v>
      </c>
      <c r="M9" s="21">
        <v>88</v>
      </c>
      <c r="N9" s="21"/>
      <c r="O9" s="23"/>
      <c r="P9" s="22"/>
      <c r="Q9" s="23"/>
      <c r="R9" s="21"/>
      <c r="S9" s="14"/>
      <c r="T9" s="23"/>
      <c r="U9" s="21"/>
      <c r="V9" s="21">
        <v>100</v>
      </c>
      <c r="W9" s="14"/>
      <c r="X9" s="14"/>
      <c r="Y9" s="14"/>
      <c r="Z9" s="21">
        <v>84</v>
      </c>
      <c r="AA9" s="21"/>
      <c r="AB9" s="32">
        <f t="shared" si="0"/>
        <v>734</v>
      </c>
      <c r="AC9" s="18"/>
      <c r="AD9" s="13">
        <f t="shared" si="1"/>
        <v>91.75</v>
      </c>
    </row>
    <row r="10" spans="1:30" x14ac:dyDescent="0.3">
      <c r="A10" s="7">
        <v>3</v>
      </c>
      <c r="B10" s="36" t="s">
        <v>12</v>
      </c>
      <c r="C10" s="21">
        <v>87</v>
      </c>
      <c r="D10" s="21">
        <v>98</v>
      </c>
      <c r="E10" s="21"/>
      <c r="F10" s="21">
        <v>89</v>
      </c>
      <c r="H10" s="21"/>
      <c r="I10" s="21"/>
      <c r="J10" s="21"/>
      <c r="K10" s="21"/>
      <c r="L10" s="21">
        <v>90</v>
      </c>
      <c r="M10" s="21">
        <v>96</v>
      </c>
      <c r="N10" s="21"/>
      <c r="P10" s="21">
        <v>92</v>
      </c>
      <c r="Q10" s="21">
        <v>93</v>
      </c>
      <c r="U10" s="21">
        <v>86</v>
      </c>
      <c r="V10" s="21"/>
      <c r="W10" s="21"/>
      <c r="Y10" s="21"/>
      <c r="Z10" s="21">
        <v>94</v>
      </c>
      <c r="AA10" s="21"/>
      <c r="AB10" s="32">
        <f t="shared" si="0"/>
        <v>825</v>
      </c>
      <c r="AC10" s="18"/>
      <c r="AD10" s="13">
        <f t="shared" si="1"/>
        <v>91.666666666666671</v>
      </c>
    </row>
    <row r="11" spans="1:30" x14ac:dyDescent="0.3">
      <c r="A11" s="7">
        <v>4</v>
      </c>
      <c r="B11" s="35" t="s">
        <v>11</v>
      </c>
      <c r="C11" s="21">
        <v>86</v>
      </c>
      <c r="D11" s="21">
        <v>96</v>
      </c>
      <c r="E11" s="21"/>
      <c r="F11" s="21">
        <v>92</v>
      </c>
      <c r="G11" s="22"/>
      <c r="H11" s="14"/>
      <c r="I11" s="14"/>
      <c r="J11" s="14"/>
      <c r="K11" s="22"/>
      <c r="L11" s="21">
        <v>92</v>
      </c>
      <c r="M11" s="21">
        <v>93</v>
      </c>
      <c r="N11" s="23"/>
      <c r="O11" s="21"/>
      <c r="P11" s="21">
        <v>91</v>
      </c>
      <c r="Q11" s="21">
        <v>89</v>
      </c>
      <c r="R11" s="23"/>
      <c r="S11" s="14"/>
      <c r="T11" s="22"/>
      <c r="U11" s="21">
        <v>91</v>
      </c>
      <c r="V11" s="22"/>
      <c r="W11" s="22"/>
      <c r="X11" s="21"/>
      <c r="Y11" s="22"/>
      <c r="Z11" s="21">
        <v>88</v>
      </c>
      <c r="AA11" s="21"/>
      <c r="AB11" s="32">
        <f t="shared" si="0"/>
        <v>818</v>
      </c>
      <c r="AC11" s="18"/>
      <c r="AD11" s="13">
        <f t="shared" si="1"/>
        <v>90.888888888888886</v>
      </c>
    </row>
    <row r="12" spans="1:30" x14ac:dyDescent="0.3">
      <c r="A12" s="7">
        <v>5</v>
      </c>
      <c r="B12" s="36" t="s">
        <v>49</v>
      </c>
      <c r="C12" s="21">
        <v>86</v>
      </c>
      <c r="D12" s="21">
        <v>95</v>
      </c>
      <c r="E12" s="21">
        <v>95</v>
      </c>
      <c r="F12" s="14"/>
      <c r="G12" s="14"/>
      <c r="H12" s="21"/>
      <c r="I12" s="21"/>
      <c r="J12" s="22"/>
      <c r="K12" s="21"/>
      <c r="L12" s="21">
        <v>91</v>
      </c>
      <c r="M12" s="21">
        <v>90</v>
      </c>
      <c r="N12" s="21"/>
      <c r="O12" s="22"/>
      <c r="P12" s="14"/>
      <c r="Q12" s="22"/>
      <c r="R12" s="14"/>
      <c r="S12" s="21"/>
      <c r="T12" s="21"/>
      <c r="U12" s="21">
        <v>80</v>
      </c>
      <c r="V12" s="22"/>
      <c r="W12" s="21"/>
      <c r="X12" s="21">
        <v>88</v>
      </c>
      <c r="Y12" s="22"/>
      <c r="Z12" s="21">
        <v>89</v>
      </c>
      <c r="AA12" s="21"/>
      <c r="AB12" s="32">
        <f t="shared" si="0"/>
        <v>714</v>
      </c>
      <c r="AC12" s="18"/>
      <c r="AD12" s="13">
        <f t="shared" si="1"/>
        <v>89.25</v>
      </c>
    </row>
    <row r="13" spans="1:30" x14ac:dyDescent="0.3">
      <c r="A13" s="7">
        <v>6</v>
      </c>
      <c r="B13" s="36" t="s">
        <v>31</v>
      </c>
      <c r="C13" s="21">
        <v>83</v>
      </c>
      <c r="D13" s="21">
        <v>95</v>
      </c>
      <c r="E13" s="21">
        <v>90</v>
      </c>
      <c r="F13" s="23"/>
      <c r="G13" s="22"/>
      <c r="H13" s="23"/>
      <c r="I13" s="14"/>
      <c r="J13" s="21"/>
      <c r="K13" s="22"/>
      <c r="L13" s="21">
        <v>86</v>
      </c>
      <c r="M13" s="21">
        <v>90</v>
      </c>
      <c r="N13" s="21"/>
      <c r="O13" s="21">
        <v>96</v>
      </c>
      <c r="P13" s="21">
        <v>82</v>
      </c>
      <c r="Q13" s="14"/>
      <c r="R13" s="22"/>
      <c r="S13" s="22"/>
      <c r="T13" s="23"/>
      <c r="U13" s="21"/>
      <c r="V13" s="14"/>
      <c r="W13" s="14"/>
      <c r="X13" s="21"/>
      <c r="Y13" s="21"/>
      <c r="Z13" s="21">
        <v>85</v>
      </c>
      <c r="AA13" s="21">
        <v>94</v>
      </c>
      <c r="AB13" s="32">
        <f t="shared" si="0"/>
        <v>801</v>
      </c>
      <c r="AC13" s="18"/>
      <c r="AD13" s="13">
        <f t="shared" si="1"/>
        <v>89</v>
      </c>
    </row>
    <row r="14" spans="1:30" x14ac:dyDescent="0.3">
      <c r="A14" s="7">
        <v>7</v>
      </c>
      <c r="B14" s="36" t="s">
        <v>13</v>
      </c>
      <c r="C14" s="21">
        <v>86</v>
      </c>
      <c r="D14" s="21">
        <v>95</v>
      </c>
      <c r="E14" s="21"/>
      <c r="F14" s="21">
        <v>84</v>
      </c>
      <c r="G14" s="22"/>
      <c r="H14" s="22"/>
      <c r="I14" s="14"/>
      <c r="J14" s="14"/>
      <c r="K14" s="22"/>
      <c r="L14" s="21">
        <v>96</v>
      </c>
      <c r="M14" s="21">
        <v>95</v>
      </c>
      <c r="N14" s="13"/>
      <c r="O14" s="21"/>
      <c r="P14" s="21">
        <v>87</v>
      </c>
      <c r="Q14" s="21">
        <v>84</v>
      </c>
      <c r="R14" s="22"/>
      <c r="S14" s="14"/>
      <c r="T14" s="13"/>
      <c r="U14" s="21">
        <v>84</v>
      </c>
      <c r="V14" s="14"/>
      <c r="W14" s="14"/>
      <c r="X14" s="21"/>
      <c r="Y14" s="14"/>
      <c r="Z14" s="21">
        <v>89</v>
      </c>
      <c r="AA14" s="21"/>
      <c r="AB14" s="32">
        <f t="shared" si="0"/>
        <v>800</v>
      </c>
      <c r="AC14" s="18"/>
      <c r="AD14" s="13">
        <f t="shared" si="1"/>
        <v>88.888888888888886</v>
      </c>
    </row>
    <row r="15" spans="1:30" x14ac:dyDescent="0.3">
      <c r="A15" s="7">
        <v>8</v>
      </c>
      <c r="B15" s="36" t="s">
        <v>29</v>
      </c>
      <c r="C15" s="21">
        <v>83</v>
      </c>
      <c r="D15" s="21">
        <v>98</v>
      </c>
      <c r="E15" s="21">
        <v>89</v>
      </c>
      <c r="F15" s="21"/>
      <c r="G15" s="21"/>
      <c r="H15" s="21"/>
      <c r="I15" s="14"/>
      <c r="J15" s="14"/>
      <c r="K15" s="22"/>
      <c r="L15" s="21">
        <v>89</v>
      </c>
      <c r="M15" s="21">
        <v>89</v>
      </c>
      <c r="N15" s="21"/>
      <c r="O15" s="21">
        <v>89</v>
      </c>
      <c r="P15" s="21">
        <v>80</v>
      </c>
      <c r="Q15" s="14"/>
      <c r="R15" s="21"/>
      <c r="S15" s="16"/>
      <c r="T15" s="22"/>
      <c r="U15" s="21"/>
      <c r="V15" s="14"/>
      <c r="W15" s="14"/>
      <c r="X15" s="14"/>
      <c r="Y15" s="14"/>
      <c r="Z15" s="21">
        <v>89</v>
      </c>
      <c r="AA15" s="21">
        <v>93</v>
      </c>
      <c r="AB15" s="32">
        <f t="shared" si="0"/>
        <v>799</v>
      </c>
      <c r="AC15" s="18"/>
      <c r="AD15" s="13">
        <f t="shared" si="1"/>
        <v>88.777777777777771</v>
      </c>
    </row>
    <row r="16" spans="1:30" x14ac:dyDescent="0.3">
      <c r="A16" s="7">
        <v>9</v>
      </c>
      <c r="B16" s="36" t="s">
        <v>30</v>
      </c>
      <c r="C16" s="21">
        <v>82</v>
      </c>
      <c r="D16" s="21">
        <v>92</v>
      </c>
      <c r="E16" s="21">
        <v>92</v>
      </c>
      <c r="F16" s="21"/>
      <c r="G16" s="13"/>
      <c r="H16" s="22"/>
      <c r="I16" s="14"/>
      <c r="J16" s="22"/>
      <c r="K16" s="14"/>
      <c r="L16" s="21">
        <v>92</v>
      </c>
      <c r="M16" s="21">
        <v>92</v>
      </c>
      <c r="N16" s="14"/>
      <c r="O16" s="21">
        <v>89</v>
      </c>
      <c r="P16" s="21">
        <v>77</v>
      </c>
      <c r="Q16" s="21"/>
      <c r="R16" s="14"/>
      <c r="S16" s="13"/>
      <c r="T16" s="13"/>
      <c r="U16" s="21"/>
      <c r="V16" s="22"/>
      <c r="W16" s="22"/>
      <c r="X16" s="22"/>
      <c r="Y16" s="22"/>
      <c r="Z16" s="21">
        <v>83</v>
      </c>
      <c r="AA16" s="21">
        <v>95</v>
      </c>
      <c r="AB16" s="32">
        <f t="shared" si="0"/>
        <v>794</v>
      </c>
      <c r="AC16" s="18"/>
      <c r="AD16" s="13">
        <f t="shared" si="1"/>
        <v>88.222222222222229</v>
      </c>
    </row>
    <row r="17" spans="1:30" x14ac:dyDescent="0.3">
      <c r="A17" s="7">
        <v>10</v>
      </c>
      <c r="B17" s="36" t="s">
        <v>114</v>
      </c>
      <c r="C17" s="21">
        <v>80</v>
      </c>
      <c r="D17" s="21">
        <v>94</v>
      </c>
      <c r="E17" s="14"/>
      <c r="F17" s="23"/>
      <c r="G17" s="21"/>
      <c r="H17" s="21">
        <v>84</v>
      </c>
      <c r="I17" s="21"/>
      <c r="J17" s="14"/>
      <c r="K17" s="21"/>
      <c r="L17" s="21">
        <v>86</v>
      </c>
      <c r="M17" s="21">
        <v>82</v>
      </c>
      <c r="N17" s="21"/>
      <c r="O17" s="23"/>
      <c r="P17" s="22"/>
      <c r="Q17" s="23"/>
      <c r="R17" s="21"/>
      <c r="S17" s="21">
        <v>96</v>
      </c>
      <c r="T17" s="21">
        <v>92</v>
      </c>
      <c r="U17" s="23"/>
      <c r="V17" s="14"/>
      <c r="W17" s="21"/>
      <c r="X17" s="14"/>
      <c r="Y17" s="14"/>
      <c r="Z17" s="14"/>
      <c r="AA17" s="21">
        <v>91</v>
      </c>
      <c r="AB17" s="32">
        <f t="shared" si="0"/>
        <v>705</v>
      </c>
      <c r="AC17" s="18"/>
      <c r="AD17" s="13">
        <f t="shared" si="1"/>
        <v>88.125</v>
      </c>
    </row>
    <row r="18" spans="1:30" x14ac:dyDescent="0.3">
      <c r="A18" s="7">
        <v>11</v>
      </c>
      <c r="B18" s="36" t="s">
        <v>126</v>
      </c>
      <c r="C18" s="21">
        <v>80</v>
      </c>
      <c r="D18" s="21">
        <v>97</v>
      </c>
      <c r="E18" s="21">
        <v>86</v>
      </c>
      <c r="F18" s="21"/>
      <c r="G18" s="22"/>
      <c r="H18" s="21">
        <v>95</v>
      </c>
      <c r="I18" s="14"/>
      <c r="J18" s="14"/>
      <c r="K18" s="22"/>
      <c r="L18" s="21">
        <v>83</v>
      </c>
      <c r="M18" s="21">
        <v>85</v>
      </c>
      <c r="N18" s="13"/>
      <c r="O18" s="14"/>
      <c r="P18" s="21"/>
      <c r="Q18" s="21"/>
      <c r="R18" s="13"/>
      <c r="S18" s="13"/>
      <c r="T18" s="22"/>
      <c r="U18" s="21"/>
      <c r="V18" s="21">
        <v>92</v>
      </c>
      <c r="W18" s="14"/>
      <c r="X18" s="21"/>
      <c r="Y18" s="14"/>
      <c r="Z18" s="21">
        <v>80</v>
      </c>
      <c r="AA18" s="22"/>
      <c r="AB18" s="32">
        <f t="shared" si="0"/>
        <v>698</v>
      </c>
      <c r="AC18" s="18"/>
      <c r="AD18" s="13">
        <f t="shared" si="1"/>
        <v>87.25</v>
      </c>
    </row>
    <row r="19" spans="1:30" x14ac:dyDescent="0.3">
      <c r="A19" s="7">
        <v>12</v>
      </c>
      <c r="B19" s="36" t="s">
        <v>50</v>
      </c>
      <c r="C19" s="21">
        <v>88</v>
      </c>
      <c r="D19" s="21">
        <v>96</v>
      </c>
      <c r="E19" s="21">
        <v>88</v>
      </c>
      <c r="F19" s="21"/>
      <c r="G19" s="23"/>
      <c r="H19" s="21"/>
      <c r="I19" s="21"/>
      <c r="J19" s="22"/>
      <c r="K19" s="21"/>
      <c r="L19" s="21">
        <v>82</v>
      </c>
      <c r="M19" s="21">
        <v>86</v>
      </c>
      <c r="N19" s="21"/>
      <c r="O19" s="23"/>
      <c r="P19" s="23"/>
      <c r="Q19" s="23"/>
      <c r="R19" s="14"/>
      <c r="S19" s="21"/>
      <c r="T19" s="21"/>
      <c r="U19" s="21">
        <v>75</v>
      </c>
      <c r="V19" s="22"/>
      <c r="W19" s="21"/>
      <c r="X19" s="21">
        <v>84</v>
      </c>
      <c r="Y19" s="22"/>
      <c r="Z19" s="21">
        <v>86</v>
      </c>
      <c r="AA19" s="21"/>
      <c r="AB19" s="32">
        <f t="shared" si="0"/>
        <v>685</v>
      </c>
      <c r="AC19" s="18"/>
      <c r="AD19" s="13">
        <f t="shared" si="1"/>
        <v>85.625</v>
      </c>
    </row>
    <row r="20" spans="1:30" x14ac:dyDescent="0.3">
      <c r="A20" s="7">
        <v>13</v>
      </c>
      <c r="B20" s="37" t="s">
        <v>93</v>
      </c>
      <c r="C20" s="21">
        <v>83</v>
      </c>
      <c r="D20" s="21">
        <v>89</v>
      </c>
      <c r="F20" s="21"/>
      <c r="G20" s="21">
        <v>82</v>
      </c>
      <c r="H20" s="21">
        <v>77</v>
      </c>
      <c r="I20" s="21"/>
      <c r="J20" s="21"/>
      <c r="K20" s="21"/>
      <c r="L20" s="21">
        <v>82</v>
      </c>
      <c r="M20" s="21"/>
      <c r="N20" s="21">
        <v>88</v>
      </c>
      <c r="R20" s="21">
        <v>89</v>
      </c>
      <c r="U20" s="21"/>
      <c r="W20" s="21"/>
      <c r="Y20" s="21"/>
      <c r="AA20" s="21">
        <v>86</v>
      </c>
      <c r="AB20" s="32">
        <f t="shared" si="0"/>
        <v>676</v>
      </c>
      <c r="AC20" s="18"/>
      <c r="AD20" s="13">
        <f t="shared" si="1"/>
        <v>84.5</v>
      </c>
    </row>
    <row r="21" spans="1:30" x14ac:dyDescent="0.3">
      <c r="A21" s="7">
        <v>14</v>
      </c>
      <c r="B21" s="36" t="s">
        <v>52</v>
      </c>
      <c r="C21" s="21">
        <v>83</v>
      </c>
      <c r="D21" s="21">
        <v>96</v>
      </c>
      <c r="E21" s="21">
        <v>88</v>
      </c>
      <c r="F21" s="22"/>
      <c r="G21" s="14"/>
      <c r="H21" s="21"/>
      <c r="I21" s="21"/>
      <c r="J21" s="22"/>
      <c r="K21" s="21"/>
      <c r="L21" s="21">
        <v>87</v>
      </c>
      <c r="M21" s="21">
        <v>82</v>
      </c>
      <c r="N21" s="21"/>
      <c r="O21" s="22"/>
      <c r="P21" s="14"/>
      <c r="Q21" s="22"/>
      <c r="R21" s="16"/>
      <c r="S21" s="21"/>
      <c r="T21" s="21"/>
      <c r="U21" s="21">
        <v>74</v>
      </c>
      <c r="V21" s="21"/>
      <c r="W21" s="21"/>
      <c r="X21" s="21">
        <v>80</v>
      </c>
      <c r="Y21" s="22"/>
      <c r="Z21" s="21">
        <v>77</v>
      </c>
      <c r="AA21" s="21"/>
      <c r="AB21" s="32">
        <f t="shared" si="0"/>
        <v>667</v>
      </c>
      <c r="AC21" s="18"/>
      <c r="AD21" s="13">
        <f t="shared" si="1"/>
        <v>83.375</v>
      </c>
    </row>
    <row r="22" spans="1:30" x14ac:dyDescent="0.3">
      <c r="A22" s="7">
        <v>15</v>
      </c>
      <c r="B22" s="36" t="s">
        <v>14</v>
      </c>
      <c r="C22" s="21">
        <v>90</v>
      </c>
      <c r="D22" s="21">
        <v>92</v>
      </c>
      <c r="E22" s="21"/>
      <c r="F22" s="21">
        <v>80</v>
      </c>
      <c r="G22" s="21"/>
      <c r="H22" s="21"/>
      <c r="I22" s="14"/>
      <c r="J22" s="14"/>
      <c r="K22" s="22"/>
      <c r="L22" s="21">
        <v>86</v>
      </c>
      <c r="M22" s="21">
        <v>83</v>
      </c>
      <c r="N22" s="21"/>
      <c r="O22" s="21"/>
      <c r="P22" s="21">
        <v>75</v>
      </c>
      <c r="Q22" s="21">
        <v>77</v>
      </c>
      <c r="R22" s="21"/>
      <c r="S22" s="22"/>
      <c r="T22" s="13"/>
      <c r="U22" s="21">
        <v>81</v>
      </c>
      <c r="V22" s="14"/>
      <c r="W22" s="14"/>
      <c r="X22" s="21"/>
      <c r="Y22" s="14"/>
      <c r="Z22" s="21">
        <v>83</v>
      </c>
      <c r="AA22" s="21"/>
      <c r="AB22" s="32">
        <f t="shared" si="0"/>
        <v>747</v>
      </c>
      <c r="AC22" s="18"/>
      <c r="AD22" s="13">
        <f t="shared" si="1"/>
        <v>83</v>
      </c>
    </row>
    <row r="23" spans="1:30" x14ac:dyDescent="0.3">
      <c r="A23" s="7">
        <v>16</v>
      </c>
      <c r="B23" s="37" t="s">
        <v>86</v>
      </c>
      <c r="C23" s="21">
        <v>75</v>
      </c>
      <c r="D23" s="21">
        <v>87</v>
      </c>
      <c r="E23" s="21"/>
      <c r="F23" s="21"/>
      <c r="G23" s="21">
        <v>82</v>
      </c>
      <c r="H23" s="21">
        <v>72</v>
      </c>
      <c r="I23" s="14"/>
      <c r="J23" s="14"/>
      <c r="K23" s="22"/>
      <c r="L23" s="21">
        <v>79</v>
      </c>
      <c r="M23" s="21"/>
      <c r="N23" s="21">
        <v>91</v>
      </c>
      <c r="O23" s="21"/>
      <c r="P23" s="21"/>
      <c r="Q23" s="13"/>
      <c r="R23" s="21">
        <v>91</v>
      </c>
      <c r="S23" s="21"/>
      <c r="T23" s="21"/>
      <c r="U23" s="21"/>
      <c r="V23" s="14"/>
      <c r="W23" s="14"/>
      <c r="X23" s="14"/>
      <c r="Y23" s="14"/>
      <c r="Z23" s="21"/>
      <c r="AA23" s="21">
        <v>82</v>
      </c>
      <c r="AB23" s="32">
        <f t="shared" si="0"/>
        <v>659</v>
      </c>
      <c r="AC23" s="18"/>
      <c r="AD23" s="13">
        <f t="shared" si="1"/>
        <v>82.375</v>
      </c>
    </row>
    <row r="24" spans="1:30" x14ac:dyDescent="0.3">
      <c r="A24" s="7">
        <v>17</v>
      </c>
      <c r="B24" s="36" t="s">
        <v>33</v>
      </c>
      <c r="C24" s="21">
        <v>82</v>
      </c>
      <c r="D24" s="21">
        <v>88</v>
      </c>
      <c r="E24" s="21">
        <v>83</v>
      </c>
      <c r="F24" s="23"/>
      <c r="G24" s="21"/>
      <c r="H24" s="21"/>
      <c r="I24" s="14"/>
      <c r="J24" s="14"/>
      <c r="K24" s="22"/>
      <c r="L24" s="21">
        <v>85</v>
      </c>
      <c r="M24" s="21">
        <v>82</v>
      </c>
      <c r="N24" s="21"/>
      <c r="O24" s="21">
        <v>82</v>
      </c>
      <c r="P24" s="21">
        <v>76</v>
      </c>
      <c r="Q24" s="23"/>
      <c r="R24" s="21"/>
      <c r="S24" s="14"/>
      <c r="T24" s="23"/>
      <c r="U24" s="23"/>
      <c r="V24" s="14"/>
      <c r="W24" s="14"/>
      <c r="X24" s="14"/>
      <c r="Y24" s="14"/>
      <c r="Z24" s="21">
        <v>75</v>
      </c>
      <c r="AA24" s="21">
        <v>86</v>
      </c>
      <c r="AB24" s="32">
        <f t="shared" si="0"/>
        <v>739</v>
      </c>
      <c r="AC24" s="18"/>
      <c r="AD24" s="13">
        <f t="shared" si="1"/>
        <v>82.111111111111114</v>
      </c>
    </row>
    <row r="25" spans="1:30" x14ac:dyDescent="0.3">
      <c r="A25" s="7">
        <v>18</v>
      </c>
      <c r="B25" s="36" t="s">
        <v>65</v>
      </c>
      <c r="C25" s="21">
        <v>71</v>
      </c>
      <c r="D25" s="21">
        <v>92</v>
      </c>
      <c r="E25" s="22"/>
      <c r="F25" s="21">
        <v>85</v>
      </c>
      <c r="G25" s="21"/>
      <c r="H25" s="21">
        <v>83</v>
      </c>
      <c r="I25" s="14"/>
      <c r="J25" s="22"/>
      <c r="K25" s="14"/>
      <c r="L25" s="21">
        <v>75</v>
      </c>
      <c r="M25" s="21">
        <v>76</v>
      </c>
      <c r="N25" s="21"/>
      <c r="O25" s="22"/>
      <c r="P25" s="14"/>
      <c r="Q25" s="22"/>
      <c r="R25" s="21"/>
      <c r="S25" s="21"/>
      <c r="T25" s="21"/>
      <c r="U25" s="21">
        <v>81</v>
      </c>
      <c r="V25" s="22"/>
      <c r="W25" s="22"/>
      <c r="X25" s="22"/>
      <c r="Y25" s="22"/>
      <c r="Z25" s="22"/>
      <c r="AA25" s="21">
        <v>85</v>
      </c>
      <c r="AB25" s="32">
        <f t="shared" si="0"/>
        <v>648</v>
      </c>
      <c r="AC25" s="18"/>
      <c r="AD25" s="13">
        <f t="shared" si="1"/>
        <v>81</v>
      </c>
    </row>
    <row r="26" spans="1:30" x14ac:dyDescent="0.3">
      <c r="A26" s="7">
        <v>19</v>
      </c>
      <c r="B26" s="36" t="s">
        <v>129</v>
      </c>
      <c r="C26" s="21">
        <v>75</v>
      </c>
      <c r="D26" s="21">
        <v>91</v>
      </c>
      <c r="E26" s="21">
        <v>86</v>
      </c>
      <c r="F26" s="21"/>
      <c r="G26" s="13"/>
      <c r="H26" s="21">
        <v>81</v>
      </c>
      <c r="I26" s="14"/>
      <c r="J26" s="21"/>
      <c r="K26" s="22"/>
      <c r="L26" s="21">
        <v>82</v>
      </c>
      <c r="M26" s="21">
        <v>75</v>
      </c>
      <c r="N26" s="21"/>
      <c r="O26" s="14"/>
      <c r="P26" s="13"/>
      <c r="Q26" s="13"/>
      <c r="R26" s="22"/>
      <c r="S26" s="21"/>
      <c r="T26" s="21"/>
      <c r="U26" s="21"/>
      <c r="V26" s="21">
        <v>86</v>
      </c>
      <c r="W26" s="14"/>
      <c r="X26" s="14"/>
      <c r="Y26" s="21"/>
      <c r="Z26" s="21">
        <v>70</v>
      </c>
      <c r="AA26" s="21"/>
      <c r="AB26" s="32">
        <f t="shared" si="0"/>
        <v>646</v>
      </c>
      <c r="AC26" s="18"/>
      <c r="AD26" s="13">
        <f t="shared" si="1"/>
        <v>80.75</v>
      </c>
    </row>
    <row r="27" spans="1:30" x14ac:dyDescent="0.3">
      <c r="A27" s="7">
        <v>20</v>
      </c>
      <c r="B27" s="36" t="s">
        <v>15</v>
      </c>
      <c r="C27" s="21">
        <v>83</v>
      </c>
      <c r="D27" s="21">
        <v>89</v>
      </c>
      <c r="E27" s="21"/>
      <c r="F27" s="21">
        <v>71</v>
      </c>
      <c r="G27" s="14"/>
      <c r="H27" s="14"/>
      <c r="I27" s="14"/>
      <c r="J27" s="14"/>
      <c r="K27" s="14"/>
      <c r="L27" s="21">
        <v>86</v>
      </c>
      <c r="M27" s="21">
        <v>78</v>
      </c>
      <c r="N27" s="14"/>
      <c r="O27" s="21"/>
      <c r="P27" s="21">
        <v>81</v>
      </c>
      <c r="Q27" s="21">
        <v>76</v>
      </c>
      <c r="R27" s="14"/>
      <c r="S27" s="14"/>
      <c r="T27" s="14"/>
      <c r="U27" s="21">
        <v>82</v>
      </c>
      <c r="V27" s="14"/>
      <c r="W27" s="14"/>
      <c r="X27" s="21"/>
      <c r="Y27" s="14"/>
      <c r="Z27" s="21">
        <v>78</v>
      </c>
      <c r="AA27" s="21"/>
      <c r="AB27" s="32">
        <f t="shared" si="0"/>
        <v>724</v>
      </c>
      <c r="AC27" s="18"/>
      <c r="AD27" s="13">
        <f t="shared" si="1"/>
        <v>80.444444444444443</v>
      </c>
    </row>
    <row r="28" spans="1:30" x14ac:dyDescent="0.3">
      <c r="A28" s="7">
        <v>21</v>
      </c>
      <c r="B28" s="36" t="s">
        <v>16</v>
      </c>
      <c r="C28" s="21">
        <v>90</v>
      </c>
      <c r="D28" s="21">
        <v>95</v>
      </c>
      <c r="E28" s="21"/>
      <c r="F28" s="21">
        <v>83</v>
      </c>
      <c r="G28" s="21"/>
      <c r="H28" s="21"/>
      <c r="I28" s="14"/>
      <c r="J28" s="14"/>
      <c r="K28" s="13"/>
      <c r="L28" s="21">
        <v>85</v>
      </c>
      <c r="M28" s="21">
        <v>80</v>
      </c>
      <c r="N28" s="21"/>
      <c r="O28" s="14"/>
      <c r="P28" s="21">
        <v>65</v>
      </c>
      <c r="Q28" s="21">
        <v>81</v>
      </c>
      <c r="R28" s="21"/>
      <c r="S28" s="22"/>
      <c r="T28" s="13"/>
      <c r="U28" s="21">
        <v>70</v>
      </c>
      <c r="V28" s="14"/>
      <c r="W28" s="14"/>
      <c r="X28" s="21"/>
      <c r="Y28" s="14"/>
      <c r="Z28" s="21">
        <v>74</v>
      </c>
      <c r="AA28" s="21"/>
      <c r="AB28" s="32">
        <f t="shared" si="0"/>
        <v>723</v>
      </c>
      <c r="AC28" s="18"/>
      <c r="AD28" s="13">
        <f t="shared" si="1"/>
        <v>80.333333333333329</v>
      </c>
    </row>
    <row r="29" spans="1:30" x14ac:dyDescent="0.3">
      <c r="A29" s="7">
        <v>22</v>
      </c>
      <c r="B29" s="36" t="s">
        <v>55</v>
      </c>
      <c r="C29" s="21">
        <v>67</v>
      </c>
      <c r="D29" s="21">
        <v>89</v>
      </c>
      <c r="E29" s="21">
        <v>83</v>
      </c>
      <c r="F29" s="13"/>
      <c r="G29" s="21"/>
      <c r="H29" s="21"/>
      <c r="I29" s="14"/>
      <c r="J29" s="14"/>
      <c r="K29" s="22"/>
      <c r="L29" s="21">
        <v>83</v>
      </c>
      <c r="M29" s="21">
        <v>81</v>
      </c>
      <c r="N29" s="21"/>
      <c r="O29" s="14"/>
      <c r="P29" s="22"/>
      <c r="Q29" s="14"/>
      <c r="R29" s="21"/>
      <c r="S29" s="13"/>
      <c r="T29" s="22"/>
      <c r="U29" s="21">
        <v>75</v>
      </c>
      <c r="V29" s="14"/>
      <c r="W29" s="14"/>
      <c r="X29" s="21">
        <v>80</v>
      </c>
      <c r="Y29" s="14"/>
      <c r="Z29" s="21">
        <v>82</v>
      </c>
      <c r="AA29" s="21"/>
      <c r="AB29" s="32">
        <f t="shared" si="0"/>
        <v>640</v>
      </c>
      <c r="AC29" s="18"/>
      <c r="AD29" s="13">
        <f t="shared" si="1"/>
        <v>80</v>
      </c>
    </row>
    <row r="30" spans="1:30" x14ac:dyDescent="0.3">
      <c r="A30" s="7">
        <v>23</v>
      </c>
      <c r="B30" s="37" t="s">
        <v>146</v>
      </c>
      <c r="C30" s="21">
        <v>62</v>
      </c>
      <c r="D30" s="21">
        <v>89</v>
      </c>
      <c r="E30" s="14"/>
      <c r="F30" s="21"/>
      <c r="G30" s="21"/>
      <c r="H30" s="21"/>
      <c r="I30" s="21">
        <v>88</v>
      </c>
      <c r="J30" s="14"/>
      <c r="K30" s="21">
        <v>85</v>
      </c>
      <c r="L30" s="21">
        <v>80</v>
      </c>
      <c r="M30" s="21"/>
      <c r="N30" s="21">
        <v>92</v>
      </c>
      <c r="O30" s="14"/>
      <c r="P30" s="13"/>
      <c r="Q30" s="14"/>
      <c r="R30" s="21"/>
      <c r="S30" s="13"/>
      <c r="T30" s="13"/>
      <c r="U30" s="21"/>
      <c r="V30" s="14"/>
      <c r="W30" s="21">
        <v>81</v>
      </c>
      <c r="X30" s="14"/>
      <c r="Y30" s="14"/>
      <c r="Z30" s="14"/>
      <c r="AA30" s="21">
        <v>58</v>
      </c>
      <c r="AB30" s="32">
        <f t="shared" si="0"/>
        <v>635</v>
      </c>
      <c r="AC30" s="18"/>
      <c r="AD30" s="13">
        <f t="shared" si="1"/>
        <v>79.375</v>
      </c>
    </row>
    <row r="31" spans="1:30" x14ac:dyDescent="0.3">
      <c r="A31" s="7">
        <v>24</v>
      </c>
      <c r="B31" s="36" t="s">
        <v>53</v>
      </c>
      <c r="C31" s="21">
        <v>77</v>
      </c>
      <c r="D31" s="21">
        <v>89</v>
      </c>
      <c r="E31" s="21">
        <v>85</v>
      </c>
      <c r="F31" s="21"/>
      <c r="G31" s="23"/>
      <c r="H31" s="23"/>
      <c r="I31" s="14"/>
      <c r="J31" s="14"/>
      <c r="K31" s="23"/>
      <c r="L31" s="21">
        <v>83</v>
      </c>
      <c r="M31" s="21">
        <v>75</v>
      </c>
      <c r="N31" s="23"/>
      <c r="O31" s="21"/>
      <c r="P31" s="21"/>
      <c r="Q31" s="21"/>
      <c r="R31" s="23"/>
      <c r="S31" s="22"/>
      <c r="T31" s="23"/>
      <c r="U31" s="21">
        <v>72</v>
      </c>
      <c r="V31" s="14"/>
      <c r="W31" s="14"/>
      <c r="X31" s="21">
        <v>78</v>
      </c>
      <c r="Y31" s="14"/>
      <c r="Z31" s="21">
        <v>73</v>
      </c>
      <c r="AA31" s="21"/>
      <c r="AB31" s="32">
        <f t="shared" si="0"/>
        <v>632</v>
      </c>
      <c r="AC31" s="18"/>
      <c r="AD31" s="13">
        <f t="shared" si="1"/>
        <v>79</v>
      </c>
    </row>
    <row r="32" spans="1:30" x14ac:dyDescent="0.3">
      <c r="A32" s="7">
        <v>25</v>
      </c>
      <c r="B32" s="37" t="s">
        <v>153</v>
      </c>
      <c r="C32" s="21">
        <v>71</v>
      </c>
      <c r="D32" s="21">
        <v>84</v>
      </c>
      <c r="E32" s="14"/>
      <c r="F32" s="22"/>
      <c r="G32" s="21"/>
      <c r="H32" s="21"/>
      <c r="I32" s="21">
        <v>95</v>
      </c>
      <c r="J32" s="14"/>
      <c r="K32" s="21">
        <v>80</v>
      </c>
      <c r="L32" s="21">
        <v>72</v>
      </c>
      <c r="M32" s="21"/>
      <c r="N32" s="21">
        <v>89</v>
      </c>
      <c r="O32" s="13"/>
      <c r="P32" s="13"/>
      <c r="Q32" s="13"/>
      <c r="R32" s="21"/>
      <c r="S32" s="21"/>
      <c r="T32" s="21"/>
      <c r="U32" s="13"/>
      <c r="V32" s="14"/>
      <c r="W32" s="21">
        <v>79</v>
      </c>
      <c r="X32" s="14"/>
      <c r="Y32" s="14"/>
      <c r="Z32" s="14"/>
      <c r="AA32" s="21">
        <v>62</v>
      </c>
      <c r="AB32" s="32">
        <f t="shared" si="0"/>
        <v>632</v>
      </c>
      <c r="AC32" s="18"/>
      <c r="AD32" s="13">
        <f t="shared" si="1"/>
        <v>79</v>
      </c>
    </row>
    <row r="33" spans="1:30" x14ac:dyDescent="0.3">
      <c r="A33" s="7">
        <v>26</v>
      </c>
      <c r="B33" s="37" t="s">
        <v>157</v>
      </c>
      <c r="C33" s="21">
        <v>70</v>
      </c>
      <c r="D33" s="21">
        <v>81</v>
      </c>
      <c r="F33" s="21"/>
      <c r="H33" s="21"/>
      <c r="I33" s="21">
        <v>82</v>
      </c>
      <c r="K33" s="21">
        <v>82</v>
      </c>
      <c r="L33" s="21">
        <v>70</v>
      </c>
      <c r="M33" s="21"/>
      <c r="N33" s="21">
        <v>86</v>
      </c>
      <c r="U33" s="21"/>
      <c r="W33" s="21">
        <v>80</v>
      </c>
      <c r="AA33" s="21">
        <v>79</v>
      </c>
      <c r="AB33" s="32">
        <f t="shared" si="0"/>
        <v>630</v>
      </c>
      <c r="AC33" s="18"/>
      <c r="AD33" s="13">
        <f t="shared" si="1"/>
        <v>78.75</v>
      </c>
    </row>
    <row r="34" spans="1:30" x14ac:dyDescent="0.3">
      <c r="A34" s="7">
        <v>27</v>
      </c>
      <c r="B34" s="36" t="s">
        <v>128</v>
      </c>
      <c r="C34" s="21">
        <v>65</v>
      </c>
      <c r="D34" s="21">
        <v>90</v>
      </c>
      <c r="E34" s="21">
        <v>81</v>
      </c>
      <c r="G34" s="21"/>
      <c r="H34" s="21">
        <v>82</v>
      </c>
      <c r="I34" s="21"/>
      <c r="K34" s="21"/>
      <c r="L34" s="21">
        <v>72</v>
      </c>
      <c r="M34" s="21">
        <v>80</v>
      </c>
      <c r="N34" s="21"/>
      <c r="R34" s="21"/>
      <c r="V34" s="21">
        <v>85</v>
      </c>
      <c r="W34" s="21"/>
      <c r="Z34" s="21">
        <v>71</v>
      </c>
      <c r="AA34" s="21"/>
      <c r="AB34" s="32">
        <f t="shared" si="0"/>
        <v>626</v>
      </c>
      <c r="AC34" s="18"/>
      <c r="AD34" s="13">
        <f t="shared" si="1"/>
        <v>78.25</v>
      </c>
    </row>
    <row r="35" spans="1:30" x14ac:dyDescent="0.3">
      <c r="A35" s="7">
        <v>28</v>
      </c>
      <c r="B35" s="37" t="s">
        <v>138</v>
      </c>
      <c r="C35" s="21">
        <v>58</v>
      </c>
      <c r="D35" s="21">
        <v>84</v>
      </c>
      <c r="G35" s="21"/>
      <c r="H35" s="21"/>
      <c r="I35" s="21"/>
      <c r="J35" s="21">
        <v>84</v>
      </c>
      <c r="K35" s="21"/>
      <c r="L35" s="21">
        <v>58</v>
      </c>
      <c r="N35" s="21">
        <v>93</v>
      </c>
      <c r="R35" s="21"/>
      <c r="W35" s="21"/>
      <c r="Y35" s="21">
        <v>85</v>
      </c>
      <c r="AA35" s="21">
        <v>81</v>
      </c>
      <c r="AB35" s="32">
        <f t="shared" si="0"/>
        <v>543</v>
      </c>
      <c r="AC35" s="18"/>
      <c r="AD35" s="13">
        <f t="shared" si="1"/>
        <v>77.571428571428569</v>
      </c>
    </row>
    <row r="36" spans="1:30" x14ac:dyDescent="0.3">
      <c r="A36" s="7">
        <v>29</v>
      </c>
      <c r="B36" s="37" t="s">
        <v>136</v>
      </c>
      <c r="C36" s="21">
        <v>40</v>
      </c>
      <c r="D36" s="21">
        <v>90</v>
      </c>
      <c r="E36" s="22"/>
      <c r="F36" s="21"/>
      <c r="G36" s="22"/>
      <c r="H36" s="21"/>
      <c r="I36" s="14"/>
      <c r="J36" s="21">
        <v>84</v>
      </c>
      <c r="K36" s="22"/>
      <c r="L36" s="21">
        <v>71</v>
      </c>
      <c r="M36" s="21"/>
      <c r="N36" s="21">
        <v>83</v>
      </c>
      <c r="O36" s="14"/>
      <c r="P36" s="22"/>
      <c r="Q36" s="22"/>
      <c r="R36" s="14"/>
      <c r="S36" s="21"/>
      <c r="T36" s="21"/>
      <c r="U36" s="21"/>
      <c r="V36" s="14"/>
      <c r="W36" s="14"/>
      <c r="X36" s="14"/>
      <c r="Y36" s="21">
        <v>89</v>
      </c>
      <c r="Z36" s="14"/>
      <c r="AA36" s="21">
        <v>86</v>
      </c>
      <c r="AB36" s="32">
        <f t="shared" si="0"/>
        <v>543</v>
      </c>
      <c r="AC36" s="18"/>
      <c r="AD36" s="13">
        <f t="shared" si="1"/>
        <v>77.571428571428569</v>
      </c>
    </row>
    <row r="37" spans="1:30" x14ac:dyDescent="0.3">
      <c r="A37" s="7">
        <v>30</v>
      </c>
      <c r="B37" s="36" t="s">
        <v>54</v>
      </c>
      <c r="C37" s="21">
        <v>62</v>
      </c>
      <c r="D37" s="21">
        <v>90</v>
      </c>
      <c r="E37" s="21">
        <v>87</v>
      </c>
      <c r="H37" s="21"/>
      <c r="I37" s="21"/>
      <c r="J37" s="21"/>
      <c r="K37" s="21"/>
      <c r="L37" s="21">
        <v>62</v>
      </c>
      <c r="M37" s="21">
        <v>80</v>
      </c>
      <c r="N37" s="21"/>
      <c r="U37" s="21">
        <v>76</v>
      </c>
      <c r="V37" s="21"/>
      <c r="W37" s="21"/>
      <c r="X37" s="21">
        <v>77</v>
      </c>
      <c r="Y37" s="21"/>
      <c r="Z37" s="21">
        <v>83</v>
      </c>
      <c r="AA37" s="21"/>
      <c r="AB37" s="32">
        <f t="shared" si="0"/>
        <v>617</v>
      </c>
      <c r="AC37" s="18"/>
      <c r="AD37" s="13">
        <f t="shared" si="1"/>
        <v>77.125</v>
      </c>
    </row>
    <row r="38" spans="1:30" x14ac:dyDescent="0.3">
      <c r="A38" s="7">
        <v>31</v>
      </c>
      <c r="B38" s="37" t="s">
        <v>143</v>
      </c>
      <c r="C38" s="21">
        <v>70</v>
      </c>
      <c r="D38" s="21">
        <v>87</v>
      </c>
      <c r="G38" s="21"/>
      <c r="H38" s="21"/>
      <c r="I38" s="21">
        <v>47</v>
      </c>
      <c r="K38" s="21">
        <v>81</v>
      </c>
      <c r="L38" s="21">
        <v>81</v>
      </c>
      <c r="M38" s="21"/>
      <c r="N38" s="21">
        <v>88</v>
      </c>
      <c r="R38" s="21"/>
      <c r="S38" s="21"/>
      <c r="T38" s="21"/>
      <c r="W38" s="21">
        <v>84</v>
      </c>
      <c r="Z38" s="21"/>
      <c r="AA38" s="21">
        <v>77</v>
      </c>
      <c r="AB38" s="32">
        <f t="shared" si="0"/>
        <v>615</v>
      </c>
      <c r="AC38" s="18"/>
      <c r="AD38" s="13">
        <f t="shared" si="1"/>
        <v>76.875</v>
      </c>
    </row>
    <row r="39" spans="1:30" x14ac:dyDescent="0.3">
      <c r="A39" s="7">
        <v>32</v>
      </c>
      <c r="B39" s="36" t="s">
        <v>51</v>
      </c>
      <c r="C39" s="21">
        <v>58</v>
      </c>
      <c r="D39" s="21">
        <v>97</v>
      </c>
      <c r="E39" s="21">
        <v>77</v>
      </c>
      <c r="F39" s="21"/>
      <c r="H39" s="21"/>
      <c r="L39" s="21">
        <v>74</v>
      </c>
      <c r="M39" s="21">
        <v>78</v>
      </c>
      <c r="P39" s="21"/>
      <c r="Q39" s="21"/>
      <c r="U39" s="21">
        <v>70</v>
      </c>
      <c r="V39" s="21"/>
      <c r="W39" s="21"/>
      <c r="X39" s="21">
        <v>74</v>
      </c>
      <c r="Z39" s="21">
        <v>77</v>
      </c>
      <c r="AB39" s="32">
        <f t="shared" si="0"/>
        <v>605</v>
      </c>
      <c r="AC39" s="18"/>
      <c r="AD39" s="13">
        <f t="shared" si="1"/>
        <v>75.625</v>
      </c>
    </row>
    <row r="40" spans="1:30" x14ac:dyDescent="0.3">
      <c r="A40" s="7">
        <v>33</v>
      </c>
      <c r="B40" s="36" t="s">
        <v>18</v>
      </c>
      <c r="C40" s="21">
        <v>77</v>
      </c>
      <c r="D40" s="21">
        <v>88</v>
      </c>
      <c r="E40" s="21"/>
      <c r="F40" s="21">
        <v>75</v>
      </c>
      <c r="G40" s="21"/>
      <c r="H40" s="21"/>
      <c r="I40" s="14"/>
      <c r="J40" s="14"/>
      <c r="K40" s="14"/>
      <c r="L40" s="21">
        <v>81</v>
      </c>
      <c r="M40" s="21">
        <v>74</v>
      </c>
      <c r="N40" s="21"/>
      <c r="O40" s="22"/>
      <c r="P40" s="21">
        <v>73</v>
      </c>
      <c r="Q40" s="21">
        <v>69</v>
      </c>
      <c r="R40" s="21"/>
      <c r="S40" s="21"/>
      <c r="T40" s="21"/>
      <c r="U40" s="21">
        <v>71</v>
      </c>
      <c r="V40" s="21"/>
      <c r="W40" s="14"/>
      <c r="X40" s="14"/>
      <c r="Y40" s="14"/>
      <c r="Z40" s="21">
        <v>69</v>
      </c>
      <c r="AA40" s="21"/>
      <c r="AB40" s="32">
        <f t="shared" ref="AB40:AB71" si="2">SUM(C40:AA40)</f>
        <v>677</v>
      </c>
      <c r="AC40" s="18"/>
      <c r="AD40" s="13">
        <f t="shared" ref="AD40:AD71" si="3">AVERAGE(C40:AA40)</f>
        <v>75.222222222222229</v>
      </c>
    </row>
    <row r="41" spans="1:30" x14ac:dyDescent="0.3">
      <c r="A41" s="7">
        <v>34</v>
      </c>
      <c r="B41" s="36" t="s">
        <v>127</v>
      </c>
      <c r="C41" s="21">
        <v>62</v>
      </c>
      <c r="D41" s="21">
        <v>88</v>
      </c>
      <c r="E41" s="21">
        <v>75</v>
      </c>
      <c r="F41" s="22"/>
      <c r="G41" s="13"/>
      <c r="H41" s="21">
        <v>80</v>
      </c>
      <c r="I41" s="14"/>
      <c r="J41" s="22"/>
      <c r="K41" s="14"/>
      <c r="L41" s="21">
        <v>65</v>
      </c>
      <c r="M41" s="21">
        <v>78</v>
      </c>
      <c r="N41" s="14"/>
      <c r="O41" s="21"/>
      <c r="P41" s="21"/>
      <c r="Q41" s="13"/>
      <c r="R41" s="14"/>
      <c r="S41" s="21"/>
      <c r="T41" s="21"/>
      <c r="U41" s="13"/>
      <c r="V41" s="21">
        <v>84</v>
      </c>
      <c r="W41" s="13"/>
      <c r="X41" s="13"/>
      <c r="Y41" s="13"/>
      <c r="Z41" s="21">
        <v>69</v>
      </c>
      <c r="AA41" s="21"/>
      <c r="AB41" s="32">
        <f t="shared" si="2"/>
        <v>601</v>
      </c>
      <c r="AC41" s="18"/>
      <c r="AD41" s="13">
        <f t="shared" si="3"/>
        <v>75.125</v>
      </c>
    </row>
    <row r="42" spans="1:30" x14ac:dyDescent="0.3">
      <c r="A42" s="7">
        <v>35</v>
      </c>
      <c r="B42" s="36" t="s">
        <v>130</v>
      </c>
      <c r="C42" s="21">
        <v>52</v>
      </c>
      <c r="D42" s="21">
        <v>88</v>
      </c>
      <c r="E42" s="21">
        <v>80</v>
      </c>
      <c r="F42" s="21"/>
      <c r="H42" s="21">
        <v>76</v>
      </c>
      <c r="L42" s="21">
        <v>80</v>
      </c>
      <c r="M42" s="21">
        <v>77</v>
      </c>
      <c r="O42" s="21"/>
      <c r="P42" s="21"/>
      <c r="U42" s="21"/>
      <c r="V42" s="21">
        <v>83</v>
      </c>
      <c r="W42" s="21"/>
      <c r="Z42" s="21">
        <v>62</v>
      </c>
      <c r="AA42" s="21"/>
      <c r="AB42" s="32">
        <f t="shared" si="2"/>
        <v>598</v>
      </c>
      <c r="AC42" s="18"/>
      <c r="AD42" s="13">
        <f t="shared" si="3"/>
        <v>74.75</v>
      </c>
    </row>
    <row r="43" spans="1:30" x14ac:dyDescent="0.3">
      <c r="A43" s="7">
        <v>36</v>
      </c>
      <c r="B43" s="37" t="s">
        <v>101</v>
      </c>
      <c r="C43" s="21">
        <v>34</v>
      </c>
      <c r="D43" s="21">
        <v>88</v>
      </c>
      <c r="E43" s="22"/>
      <c r="F43" s="21"/>
      <c r="G43" s="21">
        <v>90</v>
      </c>
      <c r="H43" s="21">
        <v>77</v>
      </c>
      <c r="I43" s="14"/>
      <c r="J43" s="21"/>
      <c r="K43" s="23"/>
      <c r="L43" s="21">
        <v>59</v>
      </c>
      <c r="M43" s="21"/>
      <c r="N43" s="21">
        <v>83</v>
      </c>
      <c r="O43" s="14"/>
      <c r="P43" s="23"/>
      <c r="Q43" s="22"/>
      <c r="R43" s="21">
        <v>79</v>
      </c>
      <c r="S43" s="22"/>
      <c r="T43" s="23"/>
      <c r="U43" s="21"/>
      <c r="V43" s="14"/>
      <c r="W43" s="14"/>
      <c r="X43" s="14"/>
      <c r="Y43" s="21"/>
      <c r="Z43" s="14"/>
      <c r="AA43" s="21">
        <v>82</v>
      </c>
      <c r="AB43" s="32">
        <f t="shared" si="2"/>
        <v>592</v>
      </c>
      <c r="AC43" s="18"/>
      <c r="AD43" s="13">
        <f t="shared" si="3"/>
        <v>74</v>
      </c>
    </row>
    <row r="44" spans="1:30" x14ac:dyDescent="0.3">
      <c r="A44" s="7">
        <v>37</v>
      </c>
      <c r="B44" s="36" t="s">
        <v>17</v>
      </c>
      <c r="C44" s="21">
        <v>77</v>
      </c>
      <c r="D44" s="21">
        <v>88</v>
      </c>
      <c r="E44" s="21"/>
      <c r="F44" s="21">
        <v>62</v>
      </c>
      <c r="H44" s="21"/>
      <c r="L44" s="21">
        <v>77</v>
      </c>
      <c r="M44" s="21">
        <v>75</v>
      </c>
      <c r="O44" s="21"/>
      <c r="P44" s="21">
        <v>77</v>
      </c>
      <c r="Q44" s="21">
        <v>68</v>
      </c>
      <c r="U44" s="21">
        <v>69</v>
      </c>
      <c r="V44" s="21"/>
      <c r="W44" s="21"/>
      <c r="Z44" s="21">
        <v>62</v>
      </c>
      <c r="AA44" s="21"/>
      <c r="AB44" s="32">
        <f t="shared" si="2"/>
        <v>655</v>
      </c>
      <c r="AC44" s="18"/>
      <c r="AD44" s="13">
        <f t="shared" si="3"/>
        <v>72.777777777777771</v>
      </c>
    </row>
    <row r="45" spans="1:30" x14ac:dyDescent="0.3">
      <c r="A45" s="7">
        <v>38</v>
      </c>
      <c r="B45" s="37" t="s">
        <v>83</v>
      </c>
      <c r="C45" s="21">
        <v>69</v>
      </c>
      <c r="D45" s="21">
        <v>91</v>
      </c>
      <c r="E45" s="22"/>
      <c r="F45" s="21"/>
      <c r="G45" s="21">
        <v>80</v>
      </c>
      <c r="H45" s="21">
        <v>69</v>
      </c>
      <c r="I45" s="21"/>
      <c r="J45" s="22"/>
      <c r="K45" s="21"/>
      <c r="L45" s="21">
        <v>49</v>
      </c>
      <c r="M45" s="21"/>
      <c r="N45" s="21">
        <v>77</v>
      </c>
      <c r="O45" s="22"/>
      <c r="P45" s="14"/>
      <c r="Q45" s="22"/>
      <c r="R45" s="21">
        <v>69</v>
      </c>
      <c r="S45" s="14"/>
      <c r="T45" s="14"/>
      <c r="U45" s="21"/>
      <c r="V45" s="22"/>
      <c r="W45" s="21"/>
      <c r="X45" s="22"/>
      <c r="Y45" s="22"/>
      <c r="Z45" s="22"/>
      <c r="AA45" s="21">
        <v>73</v>
      </c>
      <c r="AB45" s="32">
        <f t="shared" si="2"/>
        <v>577</v>
      </c>
      <c r="AC45" s="18"/>
      <c r="AD45" s="13">
        <f t="shared" si="3"/>
        <v>72.125</v>
      </c>
    </row>
    <row r="46" spans="1:30" x14ac:dyDescent="0.3">
      <c r="A46" s="7">
        <v>39</v>
      </c>
      <c r="B46" s="36" t="s">
        <v>64</v>
      </c>
      <c r="C46" s="21">
        <v>71</v>
      </c>
      <c r="D46" s="21">
        <v>82</v>
      </c>
      <c r="F46" s="21">
        <v>66</v>
      </c>
      <c r="G46" s="21"/>
      <c r="H46" s="21">
        <v>76</v>
      </c>
      <c r="I46" s="21"/>
      <c r="K46" s="21"/>
      <c r="L46" s="21">
        <v>83</v>
      </c>
      <c r="M46" s="21">
        <v>41</v>
      </c>
      <c r="N46" s="21"/>
      <c r="R46" s="21"/>
      <c r="U46" s="21">
        <v>62</v>
      </c>
      <c r="W46" s="21"/>
      <c r="AA46" s="21">
        <v>83</v>
      </c>
      <c r="AB46" s="32">
        <f t="shared" si="2"/>
        <v>564</v>
      </c>
      <c r="AC46" s="18"/>
      <c r="AD46" s="13">
        <f t="shared" si="3"/>
        <v>70.5</v>
      </c>
    </row>
    <row r="47" spans="1:30" x14ac:dyDescent="0.3">
      <c r="A47" s="7">
        <v>40</v>
      </c>
      <c r="B47" s="36" t="s">
        <v>43</v>
      </c>
      <c r="C47" s="21">
        <v>69</v>
      </c>
      <c r="D47" s="21">
        <v>89</v>
      </c>
      <c r="E47" s="21">
        <v>49</v>
      </c>
      <c r="F47" s="21"/>
      <c r="G47" s="13"/>
      <c r="H47" s="21"/>
      <c r="I47" s="14"/>
      <c r="J47" s="14"/>
      <c r="K47" s="22"/>
      <c r="L47" s="21">
        <v>70</v>
      </c>
      <c r="M47" s="21">
        <v>62</v>
      </c>
      <c r="N47" s="22"/>
      <c r="O47" s="21">
        <v>81</v>
      </c>
      <c r="P47" s="21">
        <v>62</v>
      </c>
      <c r="Q47" s="13"/>
      <c r="R47" s="22"/>
      <c r="S47" s="14"/>
      <c r="T47" s="13"/>
      <c r="U47" s="21"/>
      <c r="V47" s="14"/>
      <c r="W47" s="14"/>
      <c r="X47" s="21"/>
      <c r="Y47" s="14"/>
      <c r="Z47" s="21">
        <v>54</v>
      </c>
      <c r="AA47" s="21">
        <v>88</v>
      </c>
      <c r="AB47" s="32">
        <f t="shared" si="2"/>
        <v>624</v>
      </c>
      <c r="AC47" s="18"/>
      <c r="AD47" s="13">
        <f t="shared" si="3"/>
        <v>69.333333333333329</v>
      </c>
    </row>
    <row r="48" spans="1:30" x14ac:dyDescent="0.3">
      <c r="A48" s="7">
        <v>41</v>
      </c>
      <c r="B48" s="37" t="s">
        <v>88</v>
      </c>
      <c r="C48" s="21">
        <v>77</v>
      </c>
      <c r="D48" s="21">
        <v>85</v>
      </c>
      <c r="G48" s="21">
        <v>66</v>
      </c>
      <c r="H48" s="21">
        <v>62</v>
      </c>
      <c r="I48" s="21"/>
      <c r="J48" s="21"/>
      <c r="K48" s="21"/>
      <c r="L48" s="21">
        <v>71</v>
      </c>
      <c r="M48" s="21"/>
      <c r="N48" s="21">
        <v>77</v>
      </c>
      <c r="R48" s="21">
        <v>54</v>
      </c>
      <c r="S48" s="21"/>
      <c r="T48" s="21"/>
      <c r="W48" s="21"/>
      <c r="Y48" s="21"/>
      <c r="Z48" s="21"/>
      <c r="AA48" s="21">
        <v>59</v>
      </c>
      <c r="AB48" s="32">
        <f t="shared" si="2"/>
        <v>551</v>
      </c>
      <c r="AC48" s="18"/>
      <c r="AD48" s="13">
        <f t="shared" si="3"/>
        <v>68.875</v>
      </c>
    </row>
    <row r="49" spans="1:30" x14ac:dyDescent="0.3">
      <c r="A49" s="7">
        <v>42</v>
      </c>
      <c r="B49" s="36" t="s">
        <v>37</v>
      </c>
      <c r="C49" s="21">
        <v>65</v>
      </c>
      <c r="D49" s="21">
        <v>77</v>
      </c>
      <c r="E49" s="21">
        <v>71</v>
      </c>
      <c r="F49" s="21"/>
      <c r="G49" s="23"/>
      <c r="H49" s="22"/>
      <c r="I49" s="14"/>
      <c r="J49" s="14"/>
      <c r="K49" s="23"/>
      <c r="L49" s="21">
        <v>62</v>
      </c>
      <c r="M49" s="21">
        <v>65</v>
      </c>
      <c r="N49" s="23"/>
      <c r="O49" s="21">
        <v>71</v>
      </c>
      <c r="P49" s="21">
        <v>54</v>
      </c>
      <c r="Q49" s="21"/>
      <c r="R49" s="23"/>
      <c r="S49" s="22"/>
      <c r="T49" s="23"/>
      <c r="U49" s="21"/>
      <c r="V49" s="14"/>
      <c r="W49" s="14"/>
      <c r="X49" s="14"/>
      <c r="Y49" s="14"/>
      <c r="Z49" s="21">
        <v>69</v>
      </c>
      <c r="AA49" s="21">
        <v>74</v>
      </c>
      <c r="AB49" s="32">
        <f t="shared" si="2"/>
        <v>608</v>
      </c>
      <c r="AC49" s="18"/>
      <c r="AD49" s="13">
        <f t="shared" si="3"/>
        <v>67.555555555555557</v>
      </c>
    </row>
    <row r="50" spans="1:30" x14ac:dyDescent="0.3">
      <c r="A50" s="7">
        <v>43</v>
      </c>
      <c r="B50" s="36" t="s">
        <v>32</v>
      </c>
      <c r="C50" s="21">
        <v>62</v>
      </c>
      <c r="D50" s="21">
        <v>69</v>
      </c>
      <c r="E50" s="21">
        <v>82</v>
      </c>
      <c r="F50" s="21"/>
      <c r="G50" s="23"/>
      <c r="H50" s="21"/>
      <c r="I50" s="14"/>
      <c r="J50" s="22"/>
      <c r="K50" s="14"/>
      <c r="L50" s="21">
        <v>66</v>
      </c>
      <c r="M50" s="21">
        <v>77</v>
      </c>
      <c r="N50" s="14"/>
      <c r="O50" s="21">
        <v>70</v>
      </c>
      <c r="P50" s="21">
        <v>49</v>
      </c>
      <c r="Q50" s="21"/>
      <c r="R50" s="14"/>
      <c r="S50" s="22"/>
      <c r="T50" s="23"/>
      <c r="U50" s="21"/>
      <c r="V50" s="22"/>
      <c r="W50" s="22"/>
      <c r="X50" s="22"/>
      <c r="Y50" s="22"/>
      <c r="Z50" s="21">
        <v>54</v>
      </c>
      <c r="AA50" s="21">
        <v>70</v>
      </c>
      <c r="AB50" s="32">
        <f t="shared" si="2"/>
        <v>599</v>
      </c>
      <c r="AC50" s="18"/>
      <c r="AD50" s="13">
        <f t="shared" si="3"/>
        <v>66.555555555555557</v>
      </c>
    </row>
    <row r="51" spans="1:30" x14ac:dyDescent="0.3">
      <c r="A51" s="7">
        <v>44</v>
      </c>
      <c r="B51" s="36" t="s">
        <v>61</v>
      </c>
      <c r="C51" s="21">
        <v>79</v>
      </c>
      <c r="D51" s="21">
        <v>87</v>
      </c>
      <c r="E51" s="21">
        <v>69</v>
      </c>
      <c r="F51" s="14"/>
      <c r="G51" s="21"/>
      <c r="H51" s="21"/>
      <c r="I51" s="21"/>
      <c r="J51" s="14"/>
      <c r="K51" s="21"/>
      <c r="L51" s="21">
        <v>70</v>
      </c>
      <c r="M51" s="21">
        <v>54</v>
      </c>
      <c r="N51" s="21"/>
      <c r="O51" s="21"/>
      <c r="P51" s="21"/>
      <c r="Q51" s="23"/>
      <c r="R51" s="21"/>
      <c r="S51" s="14"/>
      <c r="T51" s="22"/>
      <c r="U51" s="21">
        <v>54</v>
      </c>
      <c r="V51" s="22"/>
      <c r="W51" s="21"/>
      <c r="X51" s="21">
        <v>58</v>
      </c>
      <c r="Y51" s="22"/>
      <c r="Z51" s="21">
        <v>57</v>
      </c>
      <c r="AA51" s="21"/>
      <c r="AB51" s="32">
        <f t="shared" si="2"/>
        <v>528</v>
      </c>
      <c r="AC51" s="18"/>
      <c r="AD51" s="13">
        <f t="shared" si="3"/>
        <v>66</v>
      </c>
    </row>
    <row r="52" spans="1:30" x14ac:dyDescent="0.3">
      <c r="A52" s="7">
        <v>45</v>
      </c>
      <c r="B52" s="35" t="s">
        <v>36</v>
      </c>
      <c r="C52" s="21">
        <v>72</v>
      </c>
      <c r="D52" s="21">
        <v>75</v>
      </c>
      <c r="E52" s="21">
        <v>62</v>
      </c>
      <c r="G52" s="21"/>
      <c r="H52" s="21"/>
      <c r="I52" s="21"/>
      <c r="K52" s="21"/>
      <c r="L52" s="21">
        <v>58</v>
      </c>
      <c r="M52" s="21">
        <v>69</v>
      </c>
      <c r="N52" s="21"/>
      <c r="O52" s="21">
        <v>74</v>
      </c>
      <c r="P52" s="21">
        <v>48</v>
      </c>
      <c r="R52" s="21"/>
      <c r="U52" s="21"/>
      <c r="W52" s="21"/>
      <c r="X52" s="21"/>
      <c r="Z52" s="21">
        <v>62</v>
      </c>
      <c r="AA52" s="21">
        <v>65</v>
      </c>
      <c r="AB52" s="32">
        <f t="shared" si="2"/>
        <v>585</v>
      </c>
      <c r="AC52" s="18"/>
      <c r="AD52" s="13">
        <f t="shared" si="3"/>
        <v>65</v>
      </c>
    </row>
    <row r="53" spans="1:30" x14ac:dyDescent="0.3">
      <c r="A53" s="7">
        <v>46</v>
      </c>
      <c r="B53" s="36" t="s">
        <v>34</v>
      </c>
      <c r="C53" s="21">
        <v>70</v>
      </c>
      <c r="D53" s="21">
        <v>75</v>
      </c>
      <c r="E53" s="21">
        <v>65</v>
      </c>
      <c r="F53" s="21"/>
      <c r="G53" s="14"/>
      <c r="H53" s="21"/>
      <c r="I53" s="14"/>
      <c r="J53" s="13"/>
      <c r="K53" s="14"/>
      <c r="L53" s="21">
        <v>62</v>
      </c>
      <c r="M53" s="21">
        <v>53</v>
      </c>
      <c r="N53" s="22"/>
      <c r="O53" s="21">
        <v>57</v>
      </c>
      <c r="P53" s="21">
        <v>55</v>
      </c>
      <c r="Q53" s="13"/>
      <c r="R53" s="22"/>
      <c r="S53" s="21"/>
      <c r="T53" s="21"/>
      <c r="U53" s="21"/>
      <c r="V53" s="13"/>
      <c r="W53" s="13"/>
      <c r="X53" s="21"/>
      <c r="Y53" s="13"/>
      <c r="Z53" s="21">
        <v>71</v>
      </c>
      <c r="AA53" s="21">
        <v>75</v>
      </c>
      <c r="AB53" s="32">
        <f t="shared" si="2"/>
        <v>583</v>
      </c>
      <c r="AC53" s="18"/>
      <c r="AD53" s="13">
        <f t="shared" si="3"/>
        <v>64.777777777777771</v>
      </c>
    </row>
    <row r="54" spans="1:30" x14ac:dyDescent="0.3">
      <c r="A54" s="7">
        <v>47</v>
      </c>
      <c r="B54" s="36" t="s">
        <v>40</v>
      </c>
      <c r="C54" s="21">
        <v>66</v>
      </c>
      <c r="D54" s="21">
        <v>92</v>
      </c>
      <c r="E54" s="21">
        <v>50</v>
      </c>
      <c r="F54" s="21"/>
      <c r="G54" s="14"/>
      <c r="H54" s="21"/>
      <c r="I54" s="14"/>
      <c r="J54" s="14"/>
      <c r="K54" s="14"/>
      <c r="L54" s="21">
        <v>71</v>
      </c>
      <c r="M54" s="21">
        <v>47</v>
      </c>
      <c r="N54" s="15"/>
      <c r="O54" s="21">
        <v>65</v>
      </c>
      <c r="P54" s="21">
        <v>52</v>
      </c>
      <c r="Q54" s="14"/>
      <c r="R54" s="16"/>
      <c r="S54" s="16"/>
      <c r="T54" s="16"/>
      <c r="U54" s="21"/>
      <c r="V54" s="14"/>
      <c r="W54" s="14"/>
      <c r="X54" s="21"/>
      <c r="Y54" s="14"/>
      <c r="Z54" s="21">
        <v>69</v>
      </c>
      <c r="AA54" s="21">
        <v>70</v>
      </c>
      <c r="AB54" s="32">
        <f t="shared" si="2"/>
        <v>582</v>
      </c>
      <c r="AC54" s="18"/>
      <c r="AD54" s="13">
        <f t="shared" si="3"/>
        <v>64.666666666666671</v>
      </c>
    </row>
    <row r="55" spans="1:30" x14ac:dyDescent="0.3">
      <c r="A55" s="7">
        <v>48</v>
      </c>
      <c r="B55" s="36" t="s">
        <v>60</v>
      </c>
      <c r="C55" s="21">
        <v>72</v>
      </c>
      <c r="D55" s="21">
        <v>80</v>
      </c>
      <c r="E55" s="21">
        <v>79</v>
      </c>
      <c r="F55" s="21"/>
      <c r="G55" s="22"/>
      <c r="H55" s="21"/>
      <c r="I55" s="14"/>
      <c r="J55" s="14"/>
      <c r="K55" s="22"/>
      <c r="L55" s="21">
        <v>62</v>
      </c>
      <c r="M55" s="21">
        <v>52</v>
      </c>
      <c r="N55" s="23"/>
      <c r="O55" s="14"/>
      <c r="P55" s="22"/>
      <c r="Q55" s="23"/>
      <c r="R55" s="22"/>
      <c r="S55" s="22"/>
      <c r="T55" s="23"/>
      <c r="U55" s="21">
        <v>51</v>
      </c>
      <c r="V55" s="21"/>
      <c r="W55" s="14"/>
      <c r="X55" s="21">
        <v>58</v>
      </c>
      <c r="Y55" s="14"/>
      <c r="Z55" s="21">
        <v>58</v>
      </c>
      <c r="AA55" s="21"/>
      <c r="AB55" s="32">
        <f t="shared" si="2"/>
        <v>512</v>
      </c>
      <c r="AC55" s="18"/>
      <c r="AD55" s="13">
        <f t="shared" si="3"/>
        <v>64</v>
      </c>
    </row>
    <row r="56" spans="1:30" x14ac:dyDescent="0.3">
      <c r="A56" s="7">
        <v>49</v>
      </c>
      <c r="B56" s="37" t="s">
        <v>87</v>
      </c>
      <c r="C56" s="21">
        <v>40</v>
      </c>
      <c r="D56" s="21">
        <v>92</v>
      </c>
      <c r="E56" s="21"/>
      <c r="F56" s="21"/>
      <c r="G56" s="21">
        <v>45</v>
      </c>
      <c r="H56" s="21">
        <v>54</v>
      </c>
      <c r="I56" s="14"/>
      <c r="J56" s="14"/>
      <c r="K56" s="22"/>
      <c r="L56" s="21">
        <v>59</v>
      </c>
      <c r="M56" s="21"/>
      <c r="N56" s="21">
        <v>62</v>
      </c>
      <c r="O56" s="21"/>
      <c r="P56" s="21"/>
      <c r="Q56" s="14"/>
      <c r="R56" s="21">
        <v>88</v>
      </c>
      <c r="S56" s="25"/>
      <c r="T56" s="22"/>
      <c r="U56" s="21"/>
      <c r="V56" s="14"/>
      <c r="W56" s="14"/>
      <c r="X56" s="21"/>
      <c r="Y56" s="14"/>
      <c r="Z56" s="21"/>
      <c r="AA56" s="21">
        <v>71</v>
      </c>
      <c r="AB56" s="32">
        <f t="shared" si="2"/>
        <v>511</v>
      </c>
      <c r="AC56" s="18"/>
      <c r="AD56" s="13">
        <f t="shared" si="3"/>
        <v>63.875</v>
      </c>
    </row>
    <row r="57" spans="1:30" x14ac:dyDescent="0.3">
      <c r="A57" s="7">
        <v>50</v>
      </c>
      <c r="B57" s="36" t="s">
        <v>41</v>
      </c>
      <c r="C57" s="21">
        <v>66</v>
      </c>
      <c r="D57" s="21">
        <v>79</v>
      </c>
      <c r="E57" s="21">
        <v>54</v>
      </c>
      <c r="F57" s="22"/>
      <c r="G57" s="21"/>
      <c r="H57" s="21"/>
      <c r="I57" s="21"/>
      <c r="J57" s="22"/>
      <c r="K57" s="21"/>
      <c r="L57" s="21">
        <v>58</v>
      </c>
      <c r="M57" s="21">
        <v>61</v>
      </c>
      <c r="N57" s="21"/>
      <c r="O57" s="21">
        <v>69</v>
      </c>
      <c r="P57" s="21">
        <v>45</v>
      </c>
      <c r="Q57" s="22"/>
      <c r="R57" s="21"/>
      <c r="S57" s="14"/>
      <c r="T57" s="14"/>
      <c r="U57" s="14"/>
      <c r="V57" s="22"/>
      <c r="W57" s="21"/>
      <c r="X57" s="22"/>
      <c r="Y57" s="22"/>
      <c r="Z57" s="21">
        <v>72</v>
      </c>
      <c r="AA57" s="21">
        <v>70</v>
      </c>
      <c r="AB57" s="32">
        <f t="shared" si="2"/>
        <v>574</v>
      </c>
      <c r="AC57" s="18"/>
      <c r="AD57" s="13">
        <f t="shared" si="3"/>
        <v>63.777777777777779</v>
      </c>
    </row>
    <row r="58" spans="1:30" x14ac:dyDescent="0.3">
      <c r="A58" s="7">
        <v>51</v>
      </c>
      <c r="B58" s="37" t="s">
        <v>145</v>
      </c>
      <c r="C58" s="21">
        <v>54</v>
      </c>
      <c r="D58" s="21">
        <v>74</v>
      </c>
      <c r="E58" s="21"/>
      <c r="F58" s="21"/>
      <c r="G58" s="21"/>
      <c r="H58" s="21"/>
      <c r="I58" s="21">
        <v>71</v>
      </c>
      <c r="J58" s="22"/>
      <c r="K58" s="21">
        <v>84</v>
      </c>
      <c r="L58" s="21">
        <v>54</v>
      </c>
      <c r="M58" s="21"/>
      <c r="N58" s="21">
        <v>54</v>
      </c>
      <c r="O58" s="13"/>
      <c r="P58" s="13"/>
      <c r="Q58" s="13"/>
      <c r="R58" s="21"/>
      <c r="S58" s="22"/>
      <c r="T58" s="13"/>
      <c r="U58" s="21"/>
      <c r="V58" s="22"/>
      <c r="W58" s="21">
        <v>55</v>
      </c>
      <c r="X58" s="21"/>
      <c r="Y58" s="22"/>
      <c r="Z58" s="21"/>
      <c r="AA58" s="21">
        <v>62</v>
      </c>
      <c r="AB58" s="32">
        <f t="shared" si="2"/>
        <v>508</v>
      </c>
      <c r="AC58" s="18"/>
      <c r="AD58" s="13">
        <f t="shared" si="3"/>
        <v>63.5</v>
      </c>
    </row>
    <row r="59" spans="1:30" x14ac:dyDescent="0.3">
      <c r="A59" s="7">
        <v>52</v>
      </c>
      <c r="B59" s="36" t="s">
        <v>39</v>
      </c>
      <c r="C59" s="21">
        <v>63</v>
      </c>
      <c r="D59" s="21">
        <v>76</v>
      </c>
      <c r="E59" s="21">
        <v>58</v>
      </c>
      <c r="F59" s="21"/>
      <c r="G59" s="22"/>
      <c r="H59" s="21"/>
      <c r="I59" s="14"/>
      <c r="J59" s="14"/>
      <c r="K59" s="22"/>
      <c r="L59" s="21">
        <v>52</v>
      </c>
      <c r="M59" s="21">
        <v>64</v>
      </c>
      <c r="N59" s="23"/>
      <c r="O59" s="21">
        <v>62</v>
      </c>
      <c r="P59" s="21">
        <v>65</v>
      </c>
      <c r="Q59" s="23"/>
      <c r="R59" s="23"/>
      <c r="S59" s="14"/>
      <c r="T59" s="22"/>
      <c r="U59" s="21"/>
      <c r="V59" s="14"/>
      <c r="W59" s="14"/>
      <c r="X59" s="21"/>
      <c r="Y59" s="14"/>
      <c r="Z59" s="21">
        <v>58</v>
      </c>
      <c r="AA59" s="21">
        <v>69</v>
      </c>
      <c r="AB59" s="32">
        <f t="shared" si="2"/>
        <v>567</v>
      </c>
      <c r="AC59" s="18"/>
      <c r="AD59" s="13">
        <f t="shared" si="3"/>
        <v>63</v>
      </c>
    </row>
    <row r="60" spans="1:30" x14ac:dyDescent="0.3">
      <c r="A60" s="7">
        <v>53</v>
      </c>
      <c r="B60" s="36" t="s">
        <v>57</v>
      </c>
      <c r="C60" s="21">
        <v>62</v>
      </c>
      <c r="D60" s="21">
        <v>78</v>
      </c>
      <c r="E60" s="21">
        <v>65</v>
      </c>
      <c r="F60" s="13"/>
      <c r="G60" s="21"/>
      <c r="H60" s="21"/>
      <c r="I60" s="14"/>
      <c r="J60" s="14"/>
      <c r="K60" s="22"/>
      <c r="L60" s="21">
        <v>65</v>
      </c>
      <c r="M60" s="21">
        <v>65</v>
      </c>
      <c r="N60" s="21"/>
      <c r="O60" s="21"/>
      <c r="P60" s="21"/>
      <c r="Q60" s="14"/>
      <c r="R60" s="21"/>
      <c r="S60" s="13"/>
      <c r="T60" s="22"/>
      <c r="U60" s="21">
        <v>51</v>
      </c>
      <c r="V60" s="21"/>
      <c r="W60" s="14"/>
      <c r="X60" s="21">
        <v>52</v>
      </c>
      <c r="Y60" s="14"/>
      <c r="Z60" s="21">
        <v>58</v>
      </c>
      <c r="AA60" s="21"/>
      <c r="AB60" s="32">
        <f t="shared" si="2"/>
        <v>496</v>
      </c>
      <c r="AC60" s="18"/>
      <c r="AD60" s="13">
        <f t="shared" si="3"/>
        <v>62</v>
      </c>
    </row>
    <row r="61" spans="1:30" x14ac:dyDescent="0.3">
      <c r="A61" s="7">
        <v>54</v>
      </c>
      <c r="B61" s="37" t="s">
        <v>134</v>
      </c>
      <c r="C61" s="21">
        <v>42</v>
      </c>
      <c r="D61" s="21">
        <v>69</v>
      </c>
      <c r="E61" s="21"/>
      <c r="F61" s="21"/>
      <c r="G61" s="14"/>
      <c r="H61" s="21"/>
      <c r="I61" s="14"/>
      <c r="J61" s="21">
        <v>77</v>
      </c>
      <c r="K61" s="14"/>
      <c r="L61" s="21">
        <v>65</v>
      </c>
      <c r="M61" s="21"/>
      <c r="N61" s="21">
        <v>70</v>
      </c>
      <c r="O61" s="21"/>
      <c r="P61" s="21"/>
      <c r="Q61" s="21"/>
      <c r="R61" s="14"/>
      <c r="S61" s="14"/>
      <c r="T61" s="14"/>
      <c r="U61" s="21"/>
      <c r="V61" s="14"/>
      <c r="W61" s="14"/>
      <c r="X61" s="14"/>
      <c r="Y61" s="21">
        <v>55</v>
      </c>
      <c r="Z61" s="21"/>
      <c r="AA61" s="21">
        <v>55</v>
      </c>
      <c r="AB61" s="32">
        <f t="shared" si="2"/>
        <v>433</v>
      </c>
      <c r="AC61" s="18"/>
      <c r="AD61" s="13">
        <f t="shared" si="3"/>
        <v>61.857142857142854</v>
      </c>
    </row>
    <row r="62" spans="1:30" x14ac:dyDescent="0.3">
      <c r="A62" s="7">
        <v>55</v>
      </c>
      <c r="B62" s="37" t="s">
        <v>150</v>
      </c>
      <c r="C62" s="21">
        <v>65</v>
      </c>
      <c r="D62" s="21">
        <v>69</v>
      </c>
      <c r="E62" s="21"/>
      <c r="F62" s="21"/>
      <c r="G62" s="13"/>
      <c r="H62" s="21"/>
      <c r="I62" s="21">
        <v>58</v>
      </c>
      <c r="J62" s="14"/>
      <c r="K62" s="21">
        <v>45</v>
      </c>
      <c r="L62" s="21">
        <v>47</v>
      </c>
      <c r="M62" s="21"/>
      <c r="N62" s="21">
        <v>75</v>
      </c>
      <c r="O62" s="21"/>
      <c r="P62" s="21"/>
      <c r="Q62" s="13"/>
      <c r="R62" s="13"/>
      <c r="S62" s="14"/>
      <c r="T62" s="13"/>
      <c r="U62" s="21"/>
      <c r="V62" s="14"/>
      <c r="W62" s="21">
        <v>74</v>
      </c>
      <c r="X62" s="14"/>
      <c r="Y62" s="14"/>
      <c r="Z62" s="21"/>
      <c r="AA62" s="21">
        <v>58</v>
      </c>
      <c r="AB62" s="32">
        <f t="shared" si="2"/>
        <v>491</v>
      </c>
      <c r="AC62" s="18"/>
      <c r="AD62" s="13">
        <f t="shared" si="3"/>
        <v>61.375</v>
      </c>
    </row>
    <row r="63" spans="1:30" x14ac:dyDescent="0.3">
      <c r="A63" s="7">
        <v>56</v>
      </c>
      <c r="B63" s="37" t="s">
        <v>151</v>
      </c>
      <c r="C63" s="21">
        <v>40</v>
      </c>
      <c r="D63" s="21">
        <v>55</v>
      </c>
      <c r="E63" s="14"/>
      <c r="F63" s="21"/>
      <c r="G63" s="21"/>
      <c r="H63" s="21"/>
      <c r="I63" s="21">
        <v>82</v>
      </c>
      <c r="J63" s="22"/>
      <c r="K63" s="21">
        <v>68</v>
      </c>
      <c r="L63" s="21">
        <v>33</v>
      </c>
      <c r="M63" s="21"/>
      <c r="N63" s="21">
        <v>70</v>
      </c>
      <c r="O63" s="22"/>
      <c r="P63" s="22"/>
      <c r="Q63" s="22"/>
      <c r="R63" s="21"/>
      <c r="S63" s="21"/>
      <c r="T63" s="21"/>
      <c r="U63" s="21"/>
      <c r="V63" s="22"/>
      <c r="W63" s="21">
        <v>55</v>
      </c>
      <c r="X63" s="22"/>
      <c r="Y63" s="22"/>
      <c r="Z63" s="22"/>
      <c r="AA63" s="21">
        <v>88</v>
      </c>
      <c r="AB63" s="32">
        <f t="shared" si="2"/>
        <v>491</v>
      </c>
      <c r="AC63" s="18"/>
      <c r="AD63" s="13">
        <f t="shared" si="3"/>
        <v>61.375</v>
      </c>
    </row>
    <row r="64" spans="1:30" x14ac:dyDescent="0.3">
      <c r="A64" s="7">
        <v>57</v>
      </c>
      <c r="B64" s="36" t="s">
        <v>117</v>
      </c>
      <c r="C64" s="21">
        <v>42</v>
      </c>
      <c r="D64" s="21">
        <v>85</v>
      </c>
      <c r="F64" s="21"/>
      <c r="G64" s="21"/>
      <c r="H64" s="21">
        <v>62</v>
      </c>
      <c r="J64" s="21"/>
      <c r="L64" s="21">
        <v>39</v>
      </c>
      <c r="M64" s="21">
        <v>33</v>
      </c>
      <c r="N64" s="21"/>
      <c r="R64" s="21"/>
      <c r="S64" s="21">
        <v>75</v>
      </c>
      <c r="T64" s="21">
        <v>83</v>
      </c>
      <c r="U64" s="21"/>
      <c r="Y64" s="21"/>
      <c r="AA64" s="21">
        <v>71</v>
      </c>
      <c r="AB64" s="32">
        <f t="shared" si="2"/>
        <v>490</v>
      </c>
      <c r="AC64" s="18"/>
      <c r="AD64" s="13">
        <f t="shared" si="3"/>
        <v>61.25</v>
      </c>
    </row>
    <row r="65" spans="1:30" x14ac:dyDescent="0.3">
      <c r="A65" s="7">
        <v>58</v>
      </c>
      <c r="B65" s="36" t="s">
        <v>113</v>
      </c>
      <c r="C65" s="21">
        <v>39</v>
      </c>
      <c r="D65" s="21">
        <v>82</v>
      </c>
      <c r="E65" s="22"/>
      <c r="F65" s="21"/>
      <c r="G65" s="21"/>
      <c r="H65" s="21">
        <v>52</v>
      </c>
      <c r="I65" s="14"/>
      <c r="J65" s="14"/>
      <c r="K65" s="22"/>
      <c r="L65" s="21">
        <v>29</v>
      </c>
      <c r="M65" s="21">
        <v>41</v>
      </c>
      <c r="N65" s="21"/>
      <c r="O65" s="23"/>
      <c r="P65" s="23"/>
      <c r="Q65" s="23"/>
      <c r="R65" s="21"/>
      <c r="S65" s="21">
        <v>86</v>
      </c>
      <c r="T65" s="21">
        <v>80</v>
      </c>
      <c r="U65" s="21"/>
      <c r="V65" s="22"/>
      <c r="W65" s="22"/>
      <c r="X65" s="22"/>
      <c r="Y65" s="22"/>
      <c r="Z65" s="22"/>
      <c r="AA65" s="21">
        <v>79</v>
      </c>
      <c r="AB65" s="32">
        <f t="shared" si="2"/>
        <v>488</v>
      </c>
      <c r="AC65" s="18"/>
      <c r="AD65" s="13">
        <f t="shared" si="3"/>
        <v>61</v>
      </c>
    </row>
    <row r="66" spans="1:30" x14ac:dyDescent="0.3">
      <c r="A66" s="7">
        <v>59</v>
      </c>
      <c r="B66" s="36" t="s">
        <v>119</v>
      </c>
      <c r="C66" s="21">
        <v>62</v>
      </c>
      <c r="D66" s="21">
        <v>58</v>
      </c>
      <c r="E66" s="21"/>
      <c r="F66" s="21"/>
      <c r="G66" s="21"/>
      <c r="H66" s="21">
        <v>62</v>
      </c>
      <c r="I66" s="14"/>
      <c r="J66" s="14"/>
      <c r="K66" s="22"/>
      <c r="L66" s="21">
        <v>49</v>
      </c>
      <c r="M66" s="21">
        <v>54</v>
      </c>
      <c r="N66" s="21"/>
      <c r="O66" s="14"/>
      <c r="P66" s="22"/>
      <c r="Q66" s="13"/>
      <c r="R66" s="21"/>
      <c r="S66" s="21">
        <v>58</v>
      </c>
      <c r="T66" s="21">
        <v>70</v>
      </c>
      <c r="U66" s="21"/>
      <c r="V66" s="14"/>
      <c r="W66" s="14"/>
      <c r="X66" s="21"/>
      <c r="Y66" s="14"/>
      <c r="Z66" s="21"/>
      <c r="AA66" s="21">
        <v>71</v>
      </c>
      <c r="AB66" s="32">
        <f t="shared" si="2"/>
        <v>484</v>
      </c>
      <c r="AC66" s="18"/>
      <c r="AD66" s="13">
        <f t="shared" si="3"/>
        <v>60.5</v>
      </c>
    </row>
    <row r="67" spans="1:30" x14ac:dyDescent="0.3">
      <c r="A67" s="7">
        <v>60</v>
      </c>
      <c r="B67" s="36" t="s">
        <v>42</v>
      </c>
      <c r="C67" s="21">
        <v>58</v>
      </c>
      <c r="D67" s="21">
        <v>85</v>
      </c>
      <c r="E67" s="21">
        <v>54</v>
      </c>
      <c r="H67" s="21"/>
      <c r="L67" s="21">
        <v>58</v>
      </c>
      <c r="M67" s="21">
        <v>54</v>
      </c>
      <c r="O67" s="21">
        <v>58</v>
      </c>
      <c r="P67" s="21">
        <v>60</v>
      </c>
      <c r="U67" s="21"/>
      <c r="V67" s="21"/>
      <c r="W67" s="21"/>
      <c r="X67" s="21"/>
      <c r="Z67" s="21">
        <v>54</v>
      </c>
      <c r="AA67" s="21">
        <v>62</v>
      </c>
      <c r="AB67" s="32">
        <f t="shared" si="2"/>
        <v>543</v>
      </c>
      <c r="AC67" s="18"/>
      <c r="AD67" s="13">
        <f t="shared" si="3"/>
        <v>60.333333333333336</v>
      </c>
    </row>
    <row r="68" spans="1:30" x14ac:dyDescent="0.3">
      <c r="A68" s="7">
        <v>61</v>
      </c>
      <c r="B68" s="36" t="s">
        <v>38</v>
      </c>
      <c r="C68" s="21">
        <v>52</v>
      </c>
      <c r="D68" s="21">
        <v>80</v>
      </c>
      <c r="E68" s="21">
        <v>62</v>
      </c>
      <c r="F68" s="21"/>
      <c r="G68" s="21"/>
      <c r="H68" s="21"/>
      <c r="I68" s="14"/>
      <c r="J68" s="14"/>
      <c r="K68" s="14"/>
      <c r="L68" s="21">
        <v>57</v>
      </c>
      <c r="M68" s="21">
        <v>55</v>
      </c>
      <c r="N68" s="21"/>
      <c r="O68" s="21">
        <v>65</v>
      </c>
      <c r="P68" s="21">
        <v>37</v>
      </c>
      <c r="Q68" s="22"/>
      <c r="R68" s="21"/>
      <c r="S68" s="14"/>
      <c r="T68" s="14"/>
      <c r="U68" s="21"/>
      <c r="V68" s="21"/>
      <c r="W68" s="14"/>
      <c r="X68" s="14"/>
      <c r="Y68" s="14"/>
      <c r="Z68" s="21">
        <v>44</v>
      </c>
      <c r="AA68" s="21">
        <v>69</v>
      </c>
      <c r="AB68" s="32">
        <f t="shared" si="2"/>
        <v>521</v>
      </c>
      <c r="AC68" s="18"/>
      <c r="AD68" s="13">
        <f t="shared" si="3"/>
        <v>57.888888888888886</v>
      </c>
    </row>
    <row r="69" spans="1:30" x14ac:dyDescent="0.3">
      <c r="A69" s="7">
        <v>62</v>
      </c>
      <c r="B69" s="37" t="s">
        <v>106</v>
      </c>
      <c r="C69" s="21">
        <v>40</v>
      </c>
      <c r="D69" s="21">
        <v>77</v>
      </c>
      <c r="E69" s="22"/>
      <c r="F69" s="14"/>
      <c r="G69" s="21">
        <v>45</v>
      </c>
      <c r="H69" s="21">
        <v>65</v>
      </c>
      <c r="I69" s="14"/>
      <c r="J69" s="21"/>
      <c r="K69" s="22"/>
      <c r="L69" s="21">
        <v>54</v>
      </c>
      <c r="M69" s="13"/>
      <c r="N69" s="21">
        <v>50</v>
      </c>
      <c r="O69" s="13"/>
      <c r="P69" s="22"/>
      <c r="Q69" s="13"/>
      <c r="R69" s="21">
        <v>77</v>
      </c>
      <c r="S69" s="14"/>
      <c r="T69" s="22"/>
      <c r="U69" s="22"/>
      <c r="V69" s="13"/>
      <c r="W69" s="13"/>
      <c r="X69" s="13"/>
      <c r="Y69" s="21"/>
      <c r="Z69" s="13"/>
      <c r="AA69" s="21">
        <v>55</v>
      </c>
      <c r="AB69" s="32">
        <f t="shared" si="2"/>
        <v>463</v>
      </c>
      <c r="AC69" s="18"/>
      <c r="AD69" s="13">
        <f t="shared" si="3"/>
        <v>57.875</v>
      </c>
    </row>
    <row r="70" spans="1:30" x14ac:dyDescent="0.3">
      <c r="A70" s="7">
        <v>63</v>
      </c>
      <c r="B70" s="37" t="s">
        <v>92</v>
      </c>
      <c r="C70" s="21">
        <v>38</v>
      </c>
      <c r="D70" s="21">
        <v>71</v>
      </c>
      <c r="E70" s="14"/>
      <c r="F70" s="21"/>
      <c r="G70" s="21">
        <v>66</v>
      </c>
      <c r="H70" s="21">
        <v>54</v>
      </c>
      <c r="I70" s="21"/>
      <c r="J70" s="22"/>
      <c r="K70" s="21"/>
      <c r="L70" s="21">
        <v>39</v>
      </c>
      <c r="M70" s="21"/>
      <c r="N70" s="21">
        <v>51</v>
      </c>
      <c r="O70" s="13"/>
      <c r="P70" s="14"/>
      <c r="Q70" s="13"/>
      <c r="R70" s="21">
        <v>75</v>
      </c>
      <c r="S70" s="22"/>
      <c r="T70" s="13"/>
      <c r="U70" s="21"/>
      <c r="V70" s="13"/>
      <c r="W70" s="21"/>
      <c r="X70" s="13"/>
      <c r="Y70" s="13"/>
      <c r="Z70" s="13"/>
      <c r="AA70" s="21">
        <v>67</v>
      </c>
      <c r="AB70" s="32">
        <f t="shared" si="2"/>
        <v>461</v>
      </c>
      <c r="AC70" s="18"/>
      <c r="AD70" s="13">
        <f t="shared" si="3"/>
        <v>57.625</v>
      </c>
    </row>
    <row r="71" spans="1:30" x14ac:dyDescent="0.3">
      <c r="A71" s="7">
        <v>64</v>
      </c>
      <c r="B71" s="36" t="s">
        <v>76</v>
      </c>
      <c r="C71" s="21">
        <v>52</v>
      </c>
      <c r="D71" s="21">
        <v>71</v>
      </c>
      <c r="E71" s="21"/>
      <c r="F71" s="21">
        <v>40</v>
      </c>
      <c r="G71" s="21"/>
      <c r="H71" s="21">
        <v>45</v>
      </c>
      <c r="I71" s="14"/>
      <c r="J71" s="14"/>
      <c r="K71" s="23"/>
      <c r="L71" s="21">
        <v>67</v>
      </c>
      <c r="M71" s="21">
        <v>51</v>
      </c>
      <c r="N71" s="21"/>
      <c r="O71" s="21"/>
      <c r="P71" s="21"/>
      <c r="Q71" s="14"/>
      <c r="R71" s="21"/>
      <c r="S71" s="22"/>
      <c r="T71" s="23"/>
      <c r="U71" s="21">
        <v>69</v>
      </c>
      <c r="V71" s="14"/>
      <c r="W71" s="14"/>
      <c r="X71" s="14"/>
      <c r="Y71" s="14"/>
      <c r="Z71" s="21"/>
      <c r="AA71" s="21">
        <v>65</v>
      </c>
      <c r="AB71" s="32">
        <f t="shared" si="2"/>
        <v>460</v>
      </c>
      <c r="AC71" s="18"/>
      <c r="AD71" s="13">
        <f t="shared" si="3"/>
        <v>57.5</v>
      </c>
    </row>
    <row r="72" spans="1:30" x14ac:dyDescent="0.3">
      <c r="A72" s="7">
        <v>65</v>
      </c>
      <c r="B72" s="36" t="s">
        <v>122</v>
      </c>
      <c r="C72" s="21">
        <v>32</v>
      </c>
      <c r="D72" s="21">
        <v>74</v>
      </c>
      <c r="E72" s="21"/>
      <c r="H72" s="21">
        <v>44</v>
      </c>
      <c r="I72" s="21"/>
      <c r="K72" s="21"/>
      <c r="L72" s="21">
        <v>44</v>
      </c>
      <c r="M72" s="21">
        <v>55</v>
      </c>
      <c r="N72" s="21"/>
      <c r="O72" s="21"/>
      <c r="P72" s="21"/>
      <c r="S72" s="21">
        <v>72</v>
      </c>
      <c r="T72" s="21">
        <v>69</v>
      </c>
      <c r="V72" s="21"/>
      <c r="W72" s="21"/>
      <c r="Z72" s="21"/>
      <c r="AA72" s="21">
        <v>65</v>
      </c>
      <c r="AB72" s="32">
        <f t="shared" ref="AB72:AB103" si="4">SUM(C72:AA72)</f>
        <v>455</v>
      </c>
      <c r="AC72" s="18"/>
      <c r="AD72" s="13">
        <f t="shared" ref="AD72:AD103" si="5">AVERAGE(C72:AA72)</f>
        <v>56.875</v>
      </c>
    </row>
    <row r="73" spans="1:30" x14ac:dyDescent="0.3">
      <c r="A73" s="7">
        <v>66</v>
      </c>
      <c r="B73" s="36" t="s">
        <v>66</v>
      </c>
      <c r="C73" s="21">
        <v>62</v>
      </c>
      <c r="D73" s="21">
        <v>86</v>
      </c>
      <c r="E73" s="21"/>
      <c r="F73" s="21">
        <v>52</v>
      </c>
      <c r="G73" s="21"/>
      <c r="H73" s="21">
        <v>60</v>
      </c>
      <c r="I73" s="14"/>
      <c r="J73" s="22"/>
      <c r="K73" s="14"/>
      <c r="L73" s="21">
        <v>53</v>
      </c>
      <c r="M73" s="21">
        <v>48</v>
      </c>
      <c r="N73" s="21"/>
      <c r="O73" s="22"/>
      <c r="P73" s="14"/>
      <c r="Q73" s="14"/>
      <c r="R73" s="21"/>
      <c r="S73" s="14"/>
      <c r="T73" s="14"/>
      <c r="U73" s="21">
        <v>38</v>
      </c>
      <c r="V73" s="22"/>
      <c r="W73" s="22"/>
      <c r="X73" s="21"/>
      <c r="Y73" s="22"/>
      <c r="Z73" s="21"/>
      <c r="AA73" s="21">
        <v>55</v>
      </c>
      <c r="AB73" s="32">
        <f t="shared" si="4"/>
        <v>454</v>
      </c>
      <c r="AC73" s="18"/>
      <c r="AD73" s="13">
        <f t="shared" si="5"/>
        <v>56.75</v>
      </c>
    </row>
    <row r="74" spans="1:30" x14ac:dyDescent="0.3">
      <c r="A74" s="7">
        <v>67</v>
      </c>
      <c r="B74" s="37" t="s">
        <v>155</v>
      </c>
      <c r="C74" s="21">
        <v>32</v>
      </c>
      <c r="D74" s="21">
        <v>69</v>
      </c>
      <c r="H74" s="21"/>
      <c r="I74" s="21">
        <v>65</v>
      </c>
      <c r="K74" s="21">
        <v>54</v>
      </c>
      <c r="L74" s="21">
        <v>55</v>
      </c>
      <c r="M74" s="21"/>
      <c r="N74" s="21">
        <v>54</v>
      </c>
      <c r="S74" s="21"/>
      <c r="T74" s="21"/>
      <c r="W74" s="21">
        <v>65</v>
      </c>
      <c r="Z74" s="21"/>
      <c r="AA74" s="21">
        <v>52</v>
      </c>
      <c r="AB74" s="32">
        <f t="shared" si="4"/>
        <v>446</v>
      </c>
      <c r="AC74" s="18"/>
      <c r="AD74" s="13">
        <f t="shared" si="5"/>
        <v>55.75</v>
      </c>
    </row>
    <row r="75" spans="1:30" x14ac:dyDescent="0.3">
      <c r="A75" s="7">
        <v>68</v>
      </c>
      <c r="B75" s="37" t="s">
        <v>156</v>
      </c>
      <c r="C75" s="21">
        <v>55</v>
      </c>
      <c r="D75" s="21">
        <v>69</v>
      </c>
      <c r="E75" s="21"/>
      <c r="F75" s="21"/>
      <c r="G75" s="21"/>
      <c r="H75" s="21"/>
      <c r="I75" s="21">
        <v>45</v>
      </c>
      <c r="J75" s="14"/>
      <c r="K75" s="21">
        <v>66</v>
      </c>
      <c r="L75" s="21">
        <v>39</v>
      </c>
      <c r="M75" s="21"/>
      <c r="N75" s="21">
        <v>58</v>
      </c>
      <c r="O75" s="14"/>
      <c r="P75" s="16"/>
      <c r="Q75" s="22"/>
      <c r="R75" s="21"/>
      <c r="S75" s="16"/>
      <c r="T75" s="16"/>
      <c r="U75" s="21"/>
      <c r="V75" s="14"/>
      <c r="W75" s="21">
        <v>58</v>
      </c>
      <c r="X75" s="21"/>
      <c r="Y75" s="14"/>
      <c r="Z75" s="21"/>
      <c r="AA75" s="21">
        <v>54</v>
      </c>
      <c r="AB75" s="32">
        <f t="shared" si="4"/>
        <v>444</v>
      </c>
      <c r="AC75" s="18"/>
      <c r="AD75" s="13">
        <f t="shared" si="5"/>
        <v>55.5</v>
      </c>
    </row>
    <row r="76" spans="1:30" x14ac:dyDescent="0.3">
      <c r="A76" s="7">
        <v>69</v>
      </c>
      <c r="B76" s="37" t="s">
        <v>149</v>
      </c>
      <c r="C76" s="21">
        <v>54</v>
      </c>
      <c r="D76" s="21">
        <v>55</v>
      </c>
      <c r="E76" s="21"/>
      <c r="F76" s="21"/>
      <c r="G76" s="23"/>
      <c r="H76" s="21"/>
      <c r="I76" s="21">
        <v>55</v>
      </c>
      <c r="J76" s="14"/>
      <c r="K76" s="21">
        <v>40</v>
      </c>
      <c r="L76" s="21">
        <v>41</v>
      </c>
      <c r="M76" s="21"/>
      <c r="N76" s="21">
        <v>65</v>
      </c>
      <c r="O76" s="21"/>
      <c r="P76" s="21"/>
      <c r="Q76" s="14"/>
      <c r="R76" s="23"/>
      <c r="S76" s="22"/>
      <c r="T76" s="23"/>
      <c r="U76" s="21"/>
      <c r="V76" s="14"/>
      <c r="W76" s="21">
        <v>71</v>
      </c>
      <c r="X76" s="21"/>
      <c r="Y76" s="14"/>
      <c r="Z76" s="21"/>
      <c r="AA76" s="21">
        <v>62</v>
      </c>
      <c r="AB76" s="32">
        <f t="shared" si="4"/>
        <v>443</v>
      </c>
      <c r="AC76" s="18"/>
      <c r="AD76" s="13">
        <f t="shared" si="5"/>
        <v>55.375</v>
      </c>
    </row>
    <row r="77" spans="1:30" x14ac:dyDescent="0.3">
      <c r="A77" s="7">
        <v>70</v>
      </c>
      <c r="B77" s="37" t="s">
        <v>148</v>
      </c>
      <c r="C77" s="21">
        <v>38</v>
      </c>
      <c r="D77" s="21">
        <v>83</v>
      </c>
      <c r="E77" s="21"/>
      <c r="F77" s="21"/>
      <c r="G77" s="21"/>
      <c r="H77" s="21"/>
      <c r="I77" s="21">
        <v>69</v>
      </c>
      <c r="J77" s="14"/>
      <c r="K77" s="21">
        <v>38</v>
      </c>
      <c r="L77" s="21">
        <v>66</v>
      </c>
      <c r="M77" s="21"/>
      <c r="N77" s="21">
        <v>48</v>
      </c>
      <c r="O77" s="13"/>
      <c r="P77" s="13"/>
      <c r="Q77" s="13"/>
      <c r="R77" s="21"/>
      <c r="S77" s="14"/>
      <c r="T77" s="13"/>
      <c r="U77" s="21"/>
      <c r="V77" s="14"/>
      <c r="W77" s="21">
        <v>54</v>
      </c>
      <c r="X77" s="21"/>
      <c r="Y77" s="14"/>
      <c r="Z77" s="21"/>
      <c r="AA77" s="21">
        <v>47</v>
      </c>
      <c r="AB77" s="32">
        <f t="shared" si="4"/>
        <v>443</v>
      </c>
      <c r="AC77" s="18"/>
      <c r="AD77" s="13">
        <f t="shared" si="5"/>
        <v>55.375</v>
      </c>
    </row>
    <row r="78" spans="1:30" x14ac:dyDescent="0.3">
      <c r="A78" s="7">
        <v>71</v>
      </c>
      <c r="B78" s="37" t="s">
        <v>102</v>
      </c>
      <c r="C78" s="21">
        <v>34</v>
      </c>
      <c r="D78" s="21">
        <v>62</v>
      </c>
      <c r="E78" s="22"/>
      <c r="F78" s="14"/>
      <c r="G78" s="21">
        <v>71</v>
      </c>
      <c r="H78" s="21">
        <v>38</v>
      </c>
      <c r="I78" s="21"/>
      <c r="J78" s="22"/>
      <c r="K78" s="21"/>
      <c r="L78" s="21">
        <v>39</v>
      </c>
      <c r="M78" s="14"/>
      <c r="N78" s="21">
        <v>58</v>
      </c>
      <c r="O78" s="22"/>
      <c r="P78" s="14"/>
      <c r="Q78" s="22"/>
      <c r="R78" s="21">
        <v>70</v>
      </c>
      <c r="S78" s="14"/>
      <c r="T78" s="14"/>
      <c r="U78" s="14"/>
      <c r="V78" s="22"/>
      <c r="W78" s="21"/>
      <c r="X78" s="22"/>
      <c r="Y78" s="22"/>
      <c r="Z78" s="22"/>
      <c r="AA78" s="21">
        <v>70</v>
      </c>
      <c r="AB78" s="32">
        <f t="shared" si="4"/>
        <v>442</v>
      </c>
      <c r="AC78" s="18"/>
      <c r="AD78" s="13">
        <f t="shared" si="5"/>
        <v>55.25</v>
      </c>
    </row>
    <row r="79" spans="1:30" x14ac:dyDescent="0.3">
      <c r="A79" s="7">
        <v>72</v>
      </c>
      <c r="B79" s="36" t="s">
        <v>111</v>
      </c>
      <c r="C79" s="21">
        <v>42</v>
      </c>
      <c r="D79" s="21">
        <v>65</v>
      </c>
      <c r="E79" s="21"/>
      <c r="F79" s="21"/>
      <c r="H79" s="21">
        <v>39</v>
      </c>
      <c r="I79" s="21"/>
      <c r="K79" s="21"/>
      <c r="L79" s="21">
        <v>54</v>
      </c>
      <c r="M79" s="21">
        <v>58</v>
      </c>
      <c r="N79" s="21"/>
      <c r="O79" s="21"/>
      <c r="P79" s="21"/>
      <c r="S79" s="21">
        <v>41</v>
      </c>
      <c r="T79" s="21">
        <v>71</v>
      </c>
      <c r="U79" s="21"/>
      <c r="W79" s="21"/>
      <c r="Z79" s="21"/>
      <c r="AA79" s="21">
        <v>70</v>
      </c>
      <c r="AB79" s="32">
        <f t="shared" si="4"/>
        <v>440</v>
      </c>
      <c r="AC79" s="18"/>
      <c r="AD79" s="13">
        <f t="shared" si="5"/>
        <v>55</v>
      </c>
    </row>
    <row r="80" spans="1:30" x14ac:dyDescent="0.3">
      <c r="A80" s="7">
        <v>73</v>
      </c>
      <c r="B80" s="37" t="s">
        <v>100</v>
      </c>
      <c r="C80" s="21">
        <v>42</v>
      </c>
      <c r="D80" s="21">
        <v>69</v>
      </c>
      <c r="E80" s="21"/>
      <c r="G80" s="21">
        <v>71</v>
      </c>
      <c r="H80" s="21">
        <v>41</v>
      </c>
      <c r="L80" s="21">
        <v>44</v>
      </c>
      <c r="M80" s="21"/>
      <c r="N80" s="21">
        <v>38</v>
      </c>
      <c r="O80" s="21"/>
      <c r="P80" s="21"/>
      <c r="R80" s="21">
        <v>81</v>
      </c>
      <c r="U80" s="21"/>
      <c r="V80" s="21"/>
      <c r="W80" s="21"/>
      <c r="X80" s="21"/>
      <c r="Z80" s="21"/>
      <c r="AA80" s="21">
        <v>52</v>
      </c>
      <c r="AB80" s="32">
        <f t="shared" si="4"/>
        <v>438</v>
      </c>
      <c r="AC80" s="18"/>
      <c r="AD80" s="13">
        <f t="shared" si="5"/>
        <v>54.75</v>
      </c>
    </row>
    <row r="81" spans="1:30" x14ac:dyDescent="0.3">
      <c r="A81" s="7">
        <v>74</v>
      </c>
      <c r="B81" s="36" t="s">
        <v>35</v>
      </c>
      <c r="C81" s="21">
        <v>60</v>
      </c>
      <c r="D81" s="21">
        <v>58</v>
      </c>
      <c r="E81" s="21">
        <v>55</v>
      </c>
      <c r="F81" s="21"/>
      <c r="G81" s="14"/>
      <c r="H81" s="22"/>
      <c r="I81" s="14"/>
      <c r="J81" s="14"/>
      <c r="K81" s="14"/>
      <c r="L81" s="21">
        <v>53</v>
      </c>
      <c r="M81" s="21">
        <v>55</v>
      </c>
      <c r="N81" s="14"/>
      <c r="O81" s="21">
        <v>58</v>
      </c>
      <c r="P81" s="21">
        <v>50</v>
      </c>
      <c r="Q81" s="21"/>
      <c r="R81" s="14"/>
      <c r="S81" s="14"/>
      <c r="T81" s="14"/>
      <c r="U81" s="21"/>
      <c r="V81" s="14"/>
      <c r="W81" s="14"/>
      <c r="X81" s="21"/>
      <c r="Y81" s="14"/>
      <c r="Z81" s="21">
        <v>41</v>
      </c>
      <c r="AA81" s="21">
        <v>58</v>
      </c>
      <c r="AB81" s="32">
        <f t="shared" si="4"/>
        <v>488</v>
      </c>
      <c r="AC81" s="18"/>
      <c r="AD81" s="13">
        <f t="shared" si="5"/>
        <v>54.222222222222221</v>
      </c>
    </row>
    <row r="82" spans="1:30" x14ac:dyDescent="0.3">
      <c r="A82" s="7">
        <v>75</v>
      </c>
      <c r="B82" s="36" t="s">
        <v>118</v>
      </c>
      <c r="C82" s="21">
        <v>40</v>
      </c>
      <c r="D82" s="21">
        <v>77</v>
      </c>
      <c r="E82" s="21"/>
      <c r="F82" s="21"/>
      <c r="G82" s="22"/>
      <c r="H82" s="21">
        <v>47</v>
      </c>
      <c r="I82" s="21"/>
      <c r="J82" s="14"/>
      <c r="K82" s="21"/>
      <c r="L82" s="21">
        <v>41</v>
      </c>
      <c r="M82" s="21">
        <v>40</v>
      </c>
      <c r="N82" s="21"/>
      <c r="O82" s="21"/>
      <c r="P82" s="21"/>
      <c r="Q82" s="22"/>
      <c r="R82" s="13"/>
      <c r="S82" s="21">
        <v>54</v>
      </c>
      <c r="T82" s="21">
        <v>69</v>
      </c>
      <c r="U82" s="21"/>
      <c r="V82" s="14"/>
      <c r="W82" s="21"/>
      <c r="X82" s="14"/>
      <c r="Y82" s="14"/>
      <c r="Z82" s="21"/>
      <c r="AA82" s="21">
        <v>65</v>
      </c>
      <c r="AB82" s="32">
        <f t="shared" si="4"/>
        <v>433</v>
      </c>
      <c r="AC82" s="18"/>
      <c r="AD82" s="13">
        <f t="shared" si="5"/>
        <v>54.125</v>
      </c>
    </row>
    <row r="83" spans="1:30" x14ac:dyDescent="0.3">
      <c r="A83" s="7">
        <v>76</v>
      </c>
      <c r="B83" s="36" t="s">
        <v>116</v>
      </c>
      <c r="C83" s="21">
        <v>38</v>
      </c>
      <c r="D83" s="21">
        <v>78</v>
      </c>
      <c r="E83" s="22"/>
      <c r="F83" s="23"/>
      <c r="G83" s="21"/>
      <c r="H83" s="21">
        <v>38</v>
      </c>
      <c r="I83" s="14"/>
      <c r="J83" s="22"/>
      <c r="K83" s="14"/>
      <c r="L83" s="21">
        <v>39</v>
      </c>
      <c r="M83" s="21">
        <v>41</v>
      </c>
      <c r="N83" s="21"/>
      <c r="O83" s="23"/>
      <c r="P83" s="14"/>
      <c r="Q83" s="23"/>
      <c r="R83" s="21"/>
      <c r="S83" s="21">
        <v>81</v>
      </c>
      <c r="T83" s="21">
        <v>72</v>
      </c>
      <c r="U83" s="14"/>
      <c r="V83" s="22"/>
      <c r="W83" s="22"/>
      <c r="X83" s="22"/>
      <c r="Y83" s="22"/>
      <c r="Z83" s="21"/>
      <c r="AA83" s="21">
        <v>45</v>
      </c>
      <c r="AB83" s="32">
        <f t="shared" si="4"/>
        <v>432</v>
      </c>
      <c r="AC83" s="18"/>
      <c r="AD83" s="13">
        <f t="shared" si="5"/>
        <v>54</v>
      </c>
    </row>
    <row r="84" spans="1:30" x14ac:dyDescent="0.3">
      <c r="A84" s="7">
        <v>77</v>
      </c>
      <c r="B84" s="37" t="s">
        <v>139</v>
      </c>
      <c r="C84" s="21">
        <v>39</v>
      </c>
      <c r="D84" s="21">
        <v>58</v>
      </c>
      <c r="E84" s="21"/>
      <c r="F84" s="21"/>
      <c r="G84" s="14"/>
      <c r="H84" s="22"/>
      <c r="I84" s="14"/>
      <c r="J84" s="21">
        <v>58</v>
      </c>
      <c r="K84" s="14"/>
      <c r="L84" s="21">
        <v>44</v>
      </c>
      <c r="M84" s="21"/>
      <c r="N84" s="21">
        <v>54</v>
      </c>
      <c r="O84" s="22"/>
      <c r="P84" s="21"/>
      <c r="Q84" s="21"/>
      <c r="R84" s="13"/>
      <c r="S84" s="22"/>
      <c r="T84" s="14"/>
      <c r="U84" s="21"/>
      <c r="V84" s="13"/>
      <c r="W84" s="13"/>
      <c r="X84" s="21"/>
      <c r="Y84" s="21">
        <v>62</v>
      </c>
      <c r="Z84" s="21"/>
      <c r="AA84" s="21">
        <v>62</v>
      </c>
      <c r="AB84" s="32">
        <f t="shared" si="4"/>
        <v>377</v>
      </c>
      <c r="AC84" s="18"/>
      <c r="AD84" s="13">
        <f t="shared" si="5"/>
        <v>53.857142857142854</v>
      </c>
    </row>
    <row r="85" spans="1:30" x14ac:dyDescent="0.3">
      <c r="A85" s="7">
        <v>78</v>
      </c>
      <c r="B85" s="37" t="s">
        <v>85</v>
      </c>
      <c r="C85" s="21">
        <v>39</v>
      </c>
      <c r="D85" s="21">
        <v>74</v>
      </c>
      <c r="E85" s="21"/>
      <c r="F85" s="21"/>
      <c r="G85" s="21">
        <v>45</v>
      </c>
      <c r="H85" s="21">
        <v>38</v>
      </c>
      <c r="I85" s="14"/>
      <c r="J85" s="22"/>
      <c r="K85" s="14"/>
      <c r="L85" s="21">
        <v>54</v>
      </c>
      <c r="M85" s="21"/>
      <c r="N85" s="21">
        <v>41</v>
      </c>
      <c r="O85" s="21"/>
      <c r="P85" s="21"/>
      <c r="Q85" s="22"/>
      <c r="R85" s="21">
        <v>74</v>
      </c>
      <c r="S85" s="14"/>
      <c r="T85" s="14"/>
      <c r="U85" s="21"/>
      <c r="V85" s="22"/>
      <c r="W85" s="22"/>
      <c r="X85" s="21"/>
      <c r="Y85" s="22"/>
      <c r="Z85" s="21"/>
      <c r="AA85" s="21">
        <v>65</v>
      </c>
      <c r="AB85" s="32">
        <f t="shared" si="4"/>
        <v>430</v>
      </c>
      <c r="AC85" s="18"/>
      <c r="AD85" s="13">
        <f t="shared" si="5"/>
        <v>53.75</v>
      </c>
    </row>
    <row r="86" spans="1:30" x14ac:dyDescent="0.3">
      <c r="A86" s="7">
        <v>79</v>
      </c>
      <c r="B86" s="37" t="s">
        <v>133</v>
      </c>
      <c r="C86" s="21">
        <v>41</v>
      </c>
      <c r="D86" s="21">
        <v>65</v>
      </c>
      <c r="G86" s="21"/>
      <c r="H86" s="21"/>
      <c r="I86" s="21"/>
      <c r="J86" s="21">
        <v>69</v>
      </c>
      <c r="K86" s="21"/>
      <c r="L86" s="21">
        <v>42</v>
      </c>
      <c r="M86" s="21"/>
      <c r="N86" s="21">
        <v>65</v>
      </c>
      <c r="R86" s="21"/>
      <c r="S86" s="21"/>
      <c r="T86" s="21"/>
      <c r="W86" s="21"/>
      <c r="Y86" s="21">
        <v>45</v>
      </c>
      <c r="AA86" s="21">
        <v>47</v>
      </c>
      <c r="AB86" s="32">
        <f t="shared" si="4"/>
        <v>374</v>
      </c>
      <c r="AC86" s="18"/>
      <c r="AD86" s="13">
        <f t="shared" si="5"/>
        <v>53.428571428571431</v>
      </c>
    </row>
    <row r="87" spans="1:30" x14ac:dyDescent="0.3">
      <c r="A87" s="7">
        <v>80</v>
      </c>
      <c r="B87" s="36" t="s">
        <v>120</v>
      </c>
      <c r="C87" s="21">
        <v>41</v>
      </c>
      <c r="D87" s="21">
        <v>59</v>
      </c>
      <c r="G87" s="21"/>
      <c r="H87" s="21">
        <v>55</v>
      </c>
      <c r="L87" s="21">
        <v>48</v>
      </c>
      <c r="M87" s="21">
        <v>44</v>
      </c>
      <c r="N87" s="21"/>
      <c r="R87" s="21"/>
      <c r="S87" s="21">
        <v>71</v>
      </c>
      <c r="T87" s="21">
        <v>55</v>
      </c>
      <c r="Z87" s="21"/>
      <c r="AA87" s="21">
        <v>54</v>
      </c>
      <c r="AB87" s="32">
        <f t="shared" si="4"/>
        <v>427</v>
      </c>
      <c r="AC87" s="18"/>
      <c r="AD87" s="13">
        <f t="shared" si="5"/>
        <v>53.375</v>
      </c>
    </row>
    <row r="88" spans="1:30" x14ac:dyDescent="0.3">
      <c r="A88" s="7">
        <v>81</v>
      </c>
      <c r="B88" s="37" t="s">
        <v>84</v>
      </c>
      <c r="C88" s="21">
        <v>28</v>
      </c>
      <c r="D88" s="21">
        <v>77</v>
      </c>
      <c r="E88" s="22"/>
      <c r="F88" s="14"/>
      <c r="G88" s="21">
        <v>52</v>
      </c>
      <c r="H88" s="21">
        <v>69</v>
      </c>
      <c r="I88" s="14"/>
      <c r="J88" s="22"/>
      <c r="K88" s="14"/>
      <c r="L88" s="21">
        <v>40</v>
      </c>
      <c r="M88" s="21"/>
      <c r="N88" s="21">
        <v>44</v>
      </c>
      <c r="O88" s="22"/>
      <c r="P88" s="14"/>
      <c r="Q88" s="22"/>
      <c r="R88" s="21">
        <v>77</v>
      </c>
      <c r="S88" s="21"/>
      <c r="T88" s="21"/>
      <c r="U88" s="14"/>
      <c r="V88" s="22"/>
      <c r="W88" s="22"/>
      <c r="X88" s="22"/>
      <c r="Y88" s="22"/>
      <c r="Z88" s="22"/>
      <c r="AA88" s="21">
        <v>38</v>
      </c>
      <c r="AB88" s="32">
        <f t="shared" si="4"/>
        <v>425</v>
      </c>
      <c r="AC88" s="18"/>
      <c r="AD88" s="13">
        <f t="shared" si="5"/>
        <v>53.125</v>
      </c>
    </row>
    <row r="89" spans="1:30" x14ac:dyDescent="0.3">
      <c r="A89" s="7">
        <v>82</v>
      </c>
      <c r="B89" s="36" t="s">
        <v>72</v>
      </c>
      <c r="C89" s="21">
        <v>45</v>
      </c>
      <c r="D89" s="21">
        <v>75</v>
      </c>
      <c r="E89" s="14"/>
      <c r="F89" s="21">
        <v>65</v>
      </c>
      <c r="G89" s="21"/>
      <c r="H89" s="21">
        <v>41</v>
      </c>
      <c r="I89" s="14"/>
      <c r="J89" s="14"/>
      <c r="K89" s="13"/>
      <c r="L89" s="21">
        <v>45</v>
      </c>
      <c r="M89" s="21">
        <v>55</v>
      </c>
      <c r="N89" s="21"/>
      <c r="O89" s="22"/>
      <c r="P89" s="13"/>
      <c r="Q89" s="13"/>
      <c r="R89" s="21"/>
      <c r="S89" s="21"/>
      <c r="T89" s="21"/>
      <c r="U89" s="21">
        <v>28</v>
      </c>
      <c r="V89" s="14"/>
      <c r="W89" s="14"/>
      <c r="X89" s="14"/>
      <c r="Y89" s="14"/>
      <c r="Z89" s="21"/>
      <c r="AA89" s="21">
        <v>69</v>
      </c>
      <c r="AB89" s="32">
        <f t="shared" si="4"/>
        <v>423</v>
      </c>
      <c r="AC89" s="18"/>
      <c r="AD89" s="13">
        <f t="shared" si="5"/>
        <v>52.875</v>
      </c>
    </row>
    <row r="90" spans="1:30" x14ac:dyDescent="0.3">
      <c r="A90" s="7">
        <v>83</v>
      </c>
      <c r="B90" s="37" t="s">
        <v>96</v>
      </c>
      <c r="C90" s="21">
        <v>37</v>
      </c>
      <c r="D90" s="21">
        <v>65</v>
      </c>
      <c r="E90" s="14"/>
      <c r="F90" s="23"/>
      <c r="G90" s="21">
        <v>38</v>
      </c>
      <c r="H90" s="21">
        <v>50</v>
      </c>
      <c r="I90" s="14"/>
      <c r="J90" s="14"/>
      <c r="K90" s="23"/>
      <c r="L90" s="21">
        <v>54</v>
      </c>
      <c r="M90" s="23"/>
      <c r="N90" s="21">
        <v>44</v>
      </c>
      <c r="O90" s="14"/>
      <c r="P90" s="23"/>
      <c r="Q90" s="14"/>
      <c r="R90" s="21">
        <v>69</v>
      </c>
      <c r="S90" s="22"/>
      <c r="T90" s="23"/>
      <c r="U90" s="23"/>
      <c r="V90" s="14"/>
      <c r="W90" s="14"/>
      <c r="X90" s="14"/>
      <c r="Y90" s="14"/>
      <c r="Z90" s="14"/>
      <c r="AA90" s="21">
        <v>62</v>
      </c>
      <c r="AB90" s="32">
        <f t="shared" si="4"/>
        <v>419</v>
      </c>
      <c r="AC90" s="18"/>
      <c r="AD90" s="13">
        <f t="shared" si="5"/>
        <v>52.375</v>
      </c>
    </row>
    <row r="91" spans="1:30" x14ac:dyDescent="0.3">
      <c r="A91" s="7">
        <v>84</v>
      </c>
      <c r="B91" s="36" t="s">
        <v>78</v>
      </c>
      <c r="C91" s="21">
        <v>40</v>
      </c>
      <c r="D91" s="21">
        <v>75</v>
      </c>
      <c r="E91" s="21"/>
      <c r="F91" s="21">
        <v>41</v>
      </c>
      <c r="H91" s="21">
        <v>50</v>
      </c>
      <c r="I91" s="21"/>
      <c r="K91" s="21"/>
      <c r="L91" s="21">
        <v>50</v>
      </c>
      <c r="M91" s="21">
        <v>60</v>
      </c>
      <c r="N91" s="21"/>
      <c r="U91" s="21">
        <v>34</v>
      </c>
      <c r="V91" s="21"/>
      <c r="W91" s="21"/>
      <c r="X91" s="21"/>
      <c r="Z91" s="21"/>
      <c r="AA91" s="21">
        <v>66</v>
      </c>
      <c r="AB91" s="32">
        <f t="shared" si="4"/>
        <v>416</v>
      </c>
      <c r="AC91" s="18"/>
      <c r="AD91" s="13">
        <f t="shared" si="5"/>
        <v>52</v>
      </c>
    </row>
    <row r="92" spans="1:30" x14ac:dyDescent="0.3">
      <c r="A92" s="7">
        <v>85</v>
      </c>
      <c r="B92" s="37" t="s">
        <v>98</v>
      </c>
      <c r="C92" s="21">
        <v>22</v>
      </c>
      <c r="D92" s="21">
        <v>58</v>
      </c>
      <c r="E92" s="21"/>
      <c r="F92" s="22"/>
      <c r="G92" s="21">
        <v>65</v>
      </c>
      <c r="H92" s="21">
        <v>45</v>
      </c>
      <c r="I92" s="14"/>
      <c r="J92" s="14"/>
      <c r="K92" s="23"/>
      <c r="L92" s="21">
        <v>44</v>
      </c>
      <c r="M92" s="21"/>
      <c r="N92" s="21">
        <v>62</v>
      </c>
      <c r="O92" s="14"/>
      <c r="P92" s="23"/>
      <c r="Q92" s="14"/>
      <c r="R92" s="21">
        <v>54</v>
      </c>
      <c r="S92" s="22"/>
      <c r="T92" s="23"/>
      <c r="U92" s="21"/>
      <c r="V92" s="21"/>
      <c r="W92" s="14"/>
      <c r="X92" s="21"/>
      <c r="Y92" s="14"/>
      <c r="Z92" s="21"/>
      <c r="AA92" s="21">
        <v>66</v>
      </c>
      <c r="AB92" s="32">
        <f t="shared" si="4"/>
        <v>416</v>
      </c>
      <c r="AC92" s="18"/>
      <c r="AD92" s="13">
        <f t="shared" si="5"/>
        <v>52</v>
      </c>
    </row>
    <row r="93" spans="1:30" x14ac:dyDescent="0.3">
      <c r="A93" s="7">
        <v>86</v>
      </c>
      <c r="B93" s="36" t="s">
        <v>59</v>
      </c>
      <c r="C93" s="21">
        <v>55</v>
      </c>
      <c r="D93" s="21">
        <v>77</v>
      </c>
      <c r="E93" s="21">
        <v>47</v>
      </c>
      <c r="F93" s="22"/>
      <c r="G93" s="21"/>
      <c r="H93" s="21"/>
      <c r="I93" s="21"/>
      <c r="J93" s="14"/>
      <c r="K93" s="21"/>
      <c r="L93" s="21">
        <v>62</v>
      </c>
      <c r="M93" s="21">
        <v>30</v>
      </c>
      <c r="N93" s="21"/>
      <c r="O93" s="14"/>
      <c r="P93" s="23"/>
      <c r="Q93" s="14"/>
      <c r="R93" s="21"/>
      <c r="S93" s="22"/>
      <c r="T93" s="23"/>
      <c r="U93" s="21">
        <v>47</v>
      </c>
      <c r="V93" s="14"/>
      <c r="W93" s="21"/>
      <c r="X93" s="21">
        <v>57</v>
      </c>
      <c r="Y93" s="14"/>
      <c r="Z93" s="21">
        <v>40</v>
      </c>
      <c r="AA93" s="21"/>
      <c r="AB93" s="32">
        <f t="shared" si="4"/>
        <v>415</v>
      </c>
      <c r="AC93" s="18"/>
      <c r="AD93" s="13">
        <f t="shared" si="5"/>
        <v>51.875</v>
      </c>
    </row>
    <row r="94" spans="1:30" x14ac:dyDescent="0.3">
      <c r="A94" s="7">
        <v>87</v>
      </c>
      <c r="B94" s="36" t="s">
        <v>121</v>
      </c>
      <c r="C94" s="21">
        <v>39</v>
      </c>
      <c r="D94" s="21">
        <v>71</v>
      </c>
      <c r="H94" s="21">
        <v>55</v>
      </c>
      <c r="J94" s="21"/>
      <c r="L94" s="21">
        <v>50</v>
      </c>
      <c r="M94" s="21">
        <v>41</v>
      </c>
      <c r="N94" s="21"/>
      <c r="S94" s="21">
        <v>44</v>
      </c>
      <c r="T94" s="21">
        <v>77</v>
      </c>
      <c r="Y94" s="21"/>
      <c r="Z94" s="21"/>
      <c r="AA94" s="21">
        <v>38</v>
      </c>
      <c r="AB94" s="32">
        <f t="shared" si="4"/>
        <v>415</v>
      </c>
      <c r="AC94" s="18"/>
      <c r="AD94" s="13">
        <f t="shared" si="5"/>
        <v>51.875</v>
      </c>
    </row>
    <row r="95" spans="1:30" x14ac:dyDescent="0.3">
      <c r="A95" s="7">
        <v>88</v>
      </c>
      <c r="B95" s="37" t="s">
        <v>135</v>
      </c>
      <c r="C95" s="21">
        <v>32</v>
      </c>
      <c r="D95" s="21">
        <v>75</v>
      </c>
      <c r="E95" s="21"/>
      <c r="G95" s="21"/>
      <c r="H95" s="21"/>
      <c r="J95" s="21">
        <v>47</v>
      </c>
      <c r="L95" s="21">
        <v>38</v>
      </c>
      <c r="M95" s="21"/>
      <c r="N95" s="21">
        <v>55</v>
      </c>
      <c r="R95" s="21"/>
      <c r="U95" s="21"/>
      <c r="V95" s="21"/>
      <c r="W95" s="21"/>
      <c r="X95" s="21"/>
      <c r="Y95" s="21">
        <v>54</v>
      </c>
      <c r="Z95" s="21"/>
      <c r="AA95" s="21">
        <v>62</v>
      </c>
      <c r="AB95" s="32">
        <f t="shared" si="4"/>
        <v>363</v>
      </c>
      <c r="AC95" s="18"/>
      <c r="AD95" s="13">
        <f t="shared" si="5"/>
        <v>51.857142857142854</v>
      </c>
    </row>
    <row r="96" spans="1:30" x14ac:dyDescent="0.3">
      <c r="A96" s="7">
        <v>89</v>
      </c>
      <c r="B96" s="37" t="s">
        <v>90</v>
      </c>
      <c r="C96" s="21">
        <v>42</v>
      </c>
      <c r="D96" s="21">
        <v>52</v>
      </c>
      <c r="E96" s="21"/>
      <c r="F96" s="21"/>
      <c r="G96" s="21">
        <v>65</v>
      </c>
      <c r="H96" s="21">
        <v>54</v>
      </c>
      <c r="I96" s="14"/>
      <c r="J96" s="14"/>
      <c r="K96" s="22"/>
      <c r="L96" s="21">
        <v>33</v>
      </c>
      <c r="M96" s="21"/>
      <c r="N96" s="21">
        <v>38</v>
      </c>
      <c r="O96" s="21"/>
      <c r="P96" s="21"/>
      <c r="Q96" s="21"/>
      <c r="R96" s="21">
        <v>71</v>
      </c>
      <c r="S96" s="22"/>
      <c r="T96" s="22"/>
      <c r="U96" s="21"/>
      <c r="V96" s="14"/>
      <c r="W96" s="14"/>
      <c r="X96" s="14"/>
      <c r="Y96" s="14"/>
      <c r="Z96" s="21"/>
      <c r="AA96" s="21">
        <v>58</v>
      </c>
      <c r="AB96" s="32">
        <f t="shared" si="4"/>
        <v>413</v>
      </c>
      <c r="AC96" s="18"/>
      <c r="AD96" s="13">
        <f t="shared" si="5"/>
        <v>51.625</v>
      </c>
    </row>
    <row r="97" spans="1:30" x14ac:dyDescent="0.3">
      <c r="A97" s="7">
        <v>90</v>
      </c>
      <c r="B97" s="37" t="s">
        <v>105</v>
      </c>
      <c r="C97" s="21">
        <v>34</v>
      </c>
      <c r="D97" s="21">
        <v>69</v>
      </c>
      <c r="G97" s="21">
        <v>52</v>
      </c>
      <c r="H97" s="21">
        <v>41</v>
      </c>
      <c r="I97" s="21"/>
      <c r="J97" s="21"/>
      <c r="K97" s="21"/>
      <c r="L97" s="21">
        <v>38</v>
      </c>
      <c r="M97" s="21"/>
      <c r="N97" s="21">
        <v>38</v>
      </c>
      <c r="R97" s="21">
        <v>82</v>
      </c>
      <c r="S97" s="21"/>
      <c r="T97" s="21"/>
      <c r="W97" s="21"/>
      <c r="Y97" s="21"/>
      <c r="Z97" s="21"/>
      <c r="AA97" s="21">
        <v>58</v>
      </c>
      <c r="AB97" s="32">
        <f t="shared" si="4"/>
        <v>412</v>
      </c>
      <c r="AC97" s="18"/>
      <c r="AD97" s="13">
        <f t="shared" si="5"/>
        <v>51.5</v>
      </c>
    </row>
    <row r="98" spans="1:30" x14ac:dyDescent="0.3">
      <c r="A98" s="7">
        <v>91</v>
      </c>
      <c r="B98" s="37" t="s">
        <v>137</v>
      </c>
      <c r="C98" s="21">
        <v>38</v>
      </c>
      <c r="D98" s="21">
        <v>69</v>
      </c>
      <c r="E98" s="22"/>
      <c r="F98" s="13"/>
      <c r="G98" s="14"/>
      <c r="H98" s="21"/>
      <c r="I98" s="21"/>
      <c r="J98" s="21">
        <v>55</v>
      </c>
      <c r="K98" s="21"/>
      <c r="L98" s="21">
        <v>37</v>
      </c>
      <c r="M98" s="21"/>
      <c r="N98" s="21">
        <v>62</v>
      </c>
      <c r="O98" s="13"/>
      <c r="P98" s="14"/>
      <c r="Q98" s="13"/>
      <c r="R98" s="22"/>
      <c r="S98" s="21"/>
      <c r="T98" s="21"/>
      <c r="U98" s="14"/>
      <c r="V98" s="13"/>
      <c r="W98" s="21"/>
      <c r="X98" s="13"/>
      <c r="Y98" s="21">
        <v>38</v>
      </c>
      <c r="Z98" s="13"/>
      <c r="AA98" s="21">
        <v>58</v>
      </c>
      <c r="AB98" s="32">
        <f t="shared" si="4"/>
        <v>357</v>
      </c>
      <c r="AC98" s="18"/>
      <c r="AD98" s="13">
        <f t="shared" si="5"/>
        <v>51</v>
      </c>
    </row>
    <row r="99" spans="1:30" x14ac:dyDescent="0.3">
      <c r="A99" s="7">
        <v>92</v>
      </c>
      <c r="B99" s="37" t="s">
        <v>97</v>
      </c>
      <c r="C99" s="21">
        <v>32</v>
      </c>
      <c r="D99" s="21">
        <v>55</v>
      </c>
      <c r="E99" s="21"/>
      <c r="F99" s="22"/>
      <c r="G99" s="21">
        <v>52</v>
      </c>
      <c r="H99" s="21">
        <v>48</v>
      </c>
      <c r="I99" s="14"/>
      <c r="J99" s="14"/>
      <c r="K99" s="26"/>
      <c r="L99" s="21">
        <v>49</v>
      </c>
      <c r="M99" s="21"/>
      <c r="N99" s="21">
        <v>38</v>
      </c>
      <c r="O99" s="14"/>
      <c r="P99" s="26"/>
      <c r="Q99" s="14"/>
      <c r="R99" s="21">
        <v>71</v>
      </c>
      <c r="S99" s="26"/>
      <c r="T99" s="26"/>
      <c r="U99" s="21"/>
      <c r="V99" s="14"/>
      <c r="W99" s="14"/>
      <c r="X99" s="21"/>
      <c r="Y99" s="14"/>
      <c r="Z99" s="21"/>
      <c r="AA99" s="21">
        <v>62</v>
      </c>
      <c r="AB99" s="32">
        <f t="shared" si="4"/>
        <v>407</v>
      </c>
      <c r="AC99" s="18"/>
      <c r="AD99" s="13">
        <f t="shared" si="5"/>
        <v>50.875</v>
      </c>
    </row>
    <row r="100" spans="1:30" x14ac:dyDescent="0.3">
      <c r="A100" s="7">
        <v>93</v>
      </c>
      <c r="B100" s="36" t="s">
        <v>112</v>
      </c>
      <c r="C100" s="21">
        <v>40</v>
      </c>
      <c r="D100" s="21">
        <v>58</v>
      </c>
      <c r="E100" s="22"/>
      <c r="F100" s="14"/>
      <c r="G100" s="21"/>
      <c r="H100" s="21">
        <v>48</v>
      </c>
      <c r="I100" s="21"/>
      <c r="J100" s="21"/>
      <c r="K100" s="21"/>
      <c r="L100" s="21">
        <v>29</v>
      </c>
      <c r="M100" s="21">
        <v>49</v>
      </c>
      <c r="N100" s="21"/>
      <c r="O100" s="22"/>
      <c r="P100" s="14"/>
      <c r="Q100" s="22"/>
      <c r="R100" s="21"/>
      <c r="S100" s="21">
        <v>60</v>
      </c>
      <c r="T100" s="21">
        <v>62</v>
      </c>
      <c r="U100" s="14"/>
      <c r="V100" s="22"/>
      <c r="W100" s="21"/>
      <c r="X100" s="22"/>
      <c r="Y100" s="21"/>
      <c r="Z100" s="22"/>
      <c r="AA100" s="21">
        <v>58</v>
      </c>
      <c r="AB100" s="32">
        <f t="shared" si="4"/>
        <v>404</v>
      </c>
      <c r="AC100" s="18"/>
      <c r="AD100" s="13">
        <f t="shared" si="5"/>
        <v>50.5</v>
      </c>
    </row>
    <row r="101" spans="1:30" x14ac:dyDescent="0.3">
      <c r="A101" s="7">
        <v>94</v>
      </c>
      <c r="B101" s="37" t="s">
        <v>99</v>
      </c>
      <c r="C101" s="21">
        <v>40</v>
      </c>
      <c r="D101" s="21">
        <v>77</v>
      </c>
      <c r="E101" s="21"/>
      <c r="F101" s="21"/>
      <c r="G101" s="21">
        <v>38</v>
      </c>
      <c r="H101" s="21">
        <v>28</v>
      </c>
      <c r="I101" s="14"/>
      <c r="J101" s="14"/>
      <c r="K101" s="14"/>
      <c r="L101" s="21">
        <v>45</v>
      </c>
      <c r="M101" s="21"/>
      <c r="N101" s="21">
        <v>45</v>
      </c>
      <c r="O101" s="14"/>
      <c r="P101" s="14"/>
      <c r="Q101" s="22"/>
      <c r="R101" s="21">
        <v>65</v>
      </c>
      <c r="S101" s="14"/>
      <c r="T101" s="14"/>
      <c r="U101" s="21"/>
      <c r="V101" s="14"/>
      <c r="W101" s="14"/>
      <c r="X101" s="21"/>
      <c r="Y101" s="14"/>
      <c r="Z101" s="21"/>
      <c r="AA101" s="21">
        <v>65</v>
      </c>
      <c r="AB101" s="32">
        <f t="shared" si="4"/>
        <v>403</v>
      </c>
      <c r="AC101" s="18"/>
      <c r="AD101" s="13">
        <f t="shared" si="5"/>
        <v>50.375</v>
      </c>
    </row>
    <row r="102" spans="1:30" x14ac:dyDescent="0.3">
      <c r="A102" s="7">
        <v>95</v>
      </c>
      <c r="B102" s="37" t="s">
        <v>91</v>
      </c>
      <c r="C102" s="21">
        <v>41</v>
      </c>
      <c r="D102" s="21">
        <v>72</v>
      </c>
      <c r="E102" s="14"/>
      <c r="F102" s="21"/>
      <c r="G102" s="21">
        <v>48</v>
      </c>
      <c r="H102" s="21">
        <v>40</v>
      </c>
      <c r="I102" s="14"/>
      <c r="J102" s="14"/>
      <c r="K102" s="23"/>
      <c r="L102" s="21">
        <v>42</v>
      </c>
      <c r="M102" s="21"/>
      <c r="N102" s="21">
        <v>33</v>
      </c>
      <c r="O102" s="14"/>
      <c r="P102" s="23"/>
      <c r="Q102" s="14"/>
      <c r="R102" s="21">
        <v>69</v>
      </c>
      <c r="S102" s="22"/>
      <c r="T102" s="23"/>
      <c r="U102" s="21"/>
      <c r="V102" s="14"/>
      <c r="W102" s="14"/>
      <c r="X102" s="14"/>
      <c r="Y102" s="14"/>
      <c r="Z102" s="14"/>
      <c r="AA102" s="21">
        <v>58</v>
      </c>
      <c r="AB102" s="32">
        <f t="shared" si="4"/>
        <v>403</v>
      </c>
      <c r="AC102" s="18"/>
      <c r="AD102" s="13">
        <f t="shared" si="5"/>
        <v>50.375</v>
      </c>
    </row>
    <row r="103" spans="1:30" x14ac:dyDescent="0.3">
      <c r="A103" s="7">
        <v>96</v>
      </c>
      <c r="B103" s="36" t="s">
        <v>56</v>
      </c>
      <c r="C103" s="21">
        <v>49</v>
      </c>
      <c r="D103" s="21">
        <v>71</v>
      </c>
      <c r="E103" s="21">
        <v>47</v>
      </c>
      <c r="F103" s="21"/>
      <c r="G103" s="13"/>
      <c r="H103" s="21"/>
      <c r="I103" s="14"/>
      <c r="J103" s="14"/>
      <c r="K103" s="22"/>
      <c r="L103" s="21">
        <v>42</v>
      </c>
      <c r="M103" s="21">
        <v>50</v>
      </c>
      <c r="N103" s="22"/>
      <c r="O103" s="21"/>
      <c r="P103" s="21"/>
      <c r="Q103" s="17"/>
      <c r="R103" s="22"/>
      <c r="S103" s="22"/>
      <c r="T103" s="17"/>
      <c r="U103" s="21">
        <v>54</v>
      </c>
      <c r="V103" s="14"/>
      <c r="W103" s="14"/>
      <c r="X103" s="21">
        <v>42</v>
      </c>
      <c r="Y103" s="14"/>
      <c r="Z103" s="21">
        <v>45</v>
      </c>
      <c r="AA103" s="21"/>
      <c r="AB103" s="32">
        <f t="shared" si="4"/>
        <v>400</v>
      </c>
      <c r="AC103" s="18"/>
      <c r="AD103" s="13">
        <f t="shared" si="5"/>
        <v>50</v>
      </c>
    </row>
    <row r="104" spans="1:30" x14ac:dyDescent="0.3">
      <c r="A104" s="7">
        <v>97</v>
      </c>
      <c r="B104" s="36" t="s">
        <v>71</v>
      </c>
      <c r="C104" s="21">
        <v>40</v>
      </c>
      <c r="D104" s="21">
        <v>80</v>
      </c>
      <c r="E104" s="21"/>
      <c r="F104" s="21">
        <v>50</v>
      </c>
      <c r="H104" s="21">
        <v>38</v>
      </c>
      <c r="I104" s="21"/>
      <c r="K104" s="21"/>
      <c r="L104" s="21">
        <v>44</v>
      </c>
      <c r="M104" s="21">
        <v>49</v>
      </c>
      <c r="N104" s="21"/>
      <c r="O104" s="21"/>
      <c r="P104" s="21"/>
      <c r="U104" s="21">
        <v>38</v>
      </c>
      <c r="V104" s="21"/>
      <c r="W104" s="21"/>
      <c r="Z104" s="21"/>
      <c r="AA104" s="21">
        <v>58</v>
      </c>
      <c r="AB104" s="32">
        <f t="shared" ref="AB104:AB125" si="6">SUM(C104:AA104)</f>
        <v>397</v>
      </c>
      <c r="AC104" s="18"/>
      <c r="AD104" s="13">
        <f t="shared" ref="AD104:AD125" si="7">AVERAGE(C104:AA104)</f>
        <v>49.625</v>
      </c>
    </row>
    <row r="105" spans="1:30" x14ac:dyDescent="0.3">
      <c r="A105" s="7">
        <v>98</v>
      </c>
      <c r="B105" s="37" t="s">
        <v>104</v>
      </c>
      <c r="C105" s="21">
        <v>32</v>
      </c>
      <c r="D105" s="21">
        <v>82</v>
      </c>
      <c r="E105" s="21"/>
      <c r="F105" s="14"/>
      <c r="G105" s="21">
        <v>57</v>
      </c>
      <c r="H105" s="21">
        <v>54</v>
      </c>
      <c r="I105" s="14"/>
      <c r="J105" s="14"/>
      <c r="K105" s="22"/>
      <c r="L105" s="21">
        <v>29</v>
      </c>
      <c r="M105" s="21"/>
      <c r="N105" s="21">
        <v>52</v>
      </c>
      <c r="O105" s="21"/>
      <c r="P105" s="21"/>
      <c r="Q105" s="13"/>
      <c r="R105" s="21">
        <v>45</v>
      </c>
      <c r="S105" s="13"/>
      <c r="T105" s="22"/>
      <c r="U105" s="22"/>
      <c r="V105" s="14"/>
      <c r="W105" s="14"/>
      <c r="X105" s="14"/>
      <c r="Y105" s="14"/>
      <c r="Z105" s="21"/>
      <c r="AA105" s="21">
        <v>45</v>
      </c>
      <c r="AB105" s="32">
        <f t="shared" si="6"/>
        <v>396</v>
      </c>
      <c r="AC105" s="18"/>
      <c r="AD105" s="13">
        <f t="shared" si="7"/>
        <v>49.5</v>
      </c>
    </row>
    <row r="106" spans="1:30" x14ac:dyDescent="0.3">
      <c r="A106" s="7">
        <v>99</v>
      </c>
      <c r="B106" s="36" t="s">
        <v>77</v>
      </c>
      <c r="C106" s="21">
        <v>41</v>
      </c>
      <c r="D106" s="21">
        <v>81</v>
      </c>
      <c r="E106" s="14"/>
      <c r="F106" s="21">
        <v>45</v>
      </c>
      <c r="G106" s="21"/>
      <c r="H106" s="21">
        <v>29</v>
      </c>
      <c r="I106" s="14"/>
      <c r="J106" s="21"/>
      <c r="K106" s="14"/>
      <c r="L106" s="21">
        <v>58</v>
      </c>
      <c r="M106" s="21">
        <v>54</v>
      </c>
      <c r="N106" s="21"/>
      <c r="O106" s="14"/>
      <c r="P106" s="16"/>
      <c r="Q106" s="14"/>
      <c r="R106" s="21"/>
      <c r="S106" s="21"/>
      <c r="T106" s="21"/>
      <c r="U106" s="21">
        <v>22</v>
      </c>
      <c r="V106" s="14"/>
      <c r="W106" s="14"/>
      <c r="X106" s="14"/>
      <c r="Y106" s="21"/>
      <c r="Z106" s="14"/>
      <c r="AA106" s="21">
        <v>58</v>
      </c>
      <c r="AB106" s="32">
        <f t="shared" si="6"/>
        <v>388</v>
      </c>
      <c r="AC106" s="18"/>
      <c r="AD106" s="13">
        <f t="shared" si="7"/>
        <v>48.5</v>
      </c>
    </row>
    <row r="107" spans="1:30" x14ac:dyDescent="0.3">
      <c r="A107" s="7">
        <v>100</v>
      </c>
      <c r="B107" s="36" t="s">
        <v>69</v>
      </c>
      <c r="C107" s="21">
        <v>38</v>
      </c>
      <c r="D107" s="21">
        <v>77</v>
      </c>
      <c r="E107" s="14"/>
      <c r="F107" s="21">
        <v>44</v>
      </c>
      <c r="G107" s="23"/>
      <c r="H107" s="21">
        <v>39</v>
      </c>
      <c r="I107" s="21"/>
      <c r="J107" s="21"/>
      <c r="K107" s="21"/>
      <c r="L107" s="21">
        <v>30</v>
      </c>
      <c r="M107" s="21">
        <v>47</v>
      </c>
      <c r="N107" s="21"/>
      <c r="O107" s="23"/>
      <c r="P107" s="23"/>
      <c r="Q107" s="23"/>
      <c r="R107" s="23"/>
      <c r="S107" s="14"/>
      <c r="T107" s="23"/>
      <c r="U107" s="21">
        <v>38</v>
      </c>
      <c r="V107" s="14"/>
      <c r="W107" s="21"/>
      <c r="X107" s="14"/>
      <c r="Y107" s="21"/>
      <c r="Z107" s="14"/>
      <c r="AA107" s="21">
        <v>74</v>
      </c>
      <c r="AB107" s="32">
        <f t="shared" si="6"/>
        <v>387</v>
      </c>
      <c r="AC107" s="18"/>
      <c r="AD107" s="13">
        <f t="shared" si="7"/>
        <v>48.375</v>
      </c>
    </row>
    <row r="108" spans="1:30" x14ac:dyDescent="0.3">
      <c r="A108" s="7">
        <v>101</v>
      </c>
      <c r="B108" s="37" t="s">
        <v>158</v>
      </c>
      <c r="C108" s="21">
        <v>27</v>
      </c>
      <c r="D108" s="21">
        <v>70</v>
      </c>
      <c r="E108" s="21"/>
      <c r="F108" s="21"/>
      <c r="G108" s="21"/>
      <c r="H108" s="21"/>
      <c r="I108" s="21">
        <v>65</v>
      </c>
      <c r="J108" s="22"/>
      <c r="K108" s="21">
        <v>38</v>
      </c>
      <c r="L108" s="21">
        <v>39</v>
      </c>
      <c r="M108" s="21"/>
      <c r="N108" s="21">
        <v>52</v>
      </c>
      <c r="O108" s="22"/>
      <c r="P108" s="14"/>
      <c r="Q108" s="14"/>
      <c r="R108" s="21"/>
      <c r="S108" s="14"/>
      <c r="T108" s="14"/>
      <c r="U108" s="21"/>
      <c r="V108" s="22"/>
      <c r="W108" s="21">
        <v>38</v>
      </c>
      <c r="X108" s="21"/>
      <c r="Y108" s="22"/>
      <c r="Z108" s="21"/>
      <c r="AA108" s="21">
        <v>58</v>
      </c>
      <c r="AB108" s="32">
        <f t="shared" si="6"/>
        <v>387</v>
      </c>
      <c r="AC108" s="18"/>
      <c r="AD108" s="13">
        <f t="shared" si="7"/>
        <v>48.375</v>
      </c>
    </row>
    <row r="109" spans="1:30" x14ac:dyDescent="0.3">
      <c r="A109" s="7">
        <v>102</v>
      </c>
      <c r="B109" s="36" t="s">
        <v>58</v>
      </c>
      <c r="C109" s="21">
        <v>53</v>
      </c>
      <c r="D109" s="21">
        <v>75</v>
      </c>
      <c r="E109" s="21">
        <v>39</v>
      </c>
      <c r="F109" s="21"/>
      <c r="G109" s="13"/>
      <c r="H109" s="22"/>
      <c r="I109" s="14"/>
      <c r="J109" s="14"/>
      <c r="K109" s="13"/>
      <c r="L109" s="21">
        <v>38</v>
      </c>
      <c r="M109" s="21">
        <v>41</v>
      </c>
      <c r="N109" s="13"/>
      <c r="O109" s="21"/>
      <c r="P109" s="21"/>
      <c r="Q109" s="21"/>
      <c r="R109" s="13"/>
      <c r="S109" s="14"/>
      <c r="T109" s="13"/>
      <c r="U109" s="21">
        <v>53</v>
      </c>
      <c r="V109" s="14"/>
      <c r="W109" s="14"/>
      <c r="X109" s="21">
        <v>47</v>
      </c>
      <c r="Y109" s="14"/>
      <c r="Z109" s="21">
        <v>38</v>
      </c>
      <c r="AA109" s="21"/>
      <c r="AB109" s="32">
        <f t="shared" si="6"/>
        <v>384</v>
      </c>
      <c r="AC109" s="18"/>
      <c r="AD109" s="13">
        <f t="shared" si="7"/>
        <v>48</v>
      </c>
    </row>
    <row r="110" spans="1:30" x14ac:dyDescent="0.3">
      <c r="A110" s="7">
        <v>103</v>
      </c>
      <c r="B110" s="37" t="s">
        <v>144</v>
      </c>
      <c r="C110" s="21">
        <v>33</v>
      </c>
      <c r="D110" s="21">
        <v>55</v>
      </c>
      <c r="E110" s="14"/>
      <c r="F110" s="21"/>
      <c r="G110" s="21"/>
      <c r="H110" s="21"/>
      <c r="I110" s="21">
        <v>58</v>
      </c>
      <c r="J110" s="14"/>
      <c r="K110" s="21">
        <v>58</v>
      </c>
      <c r="L110" s="21">
        <v>39</v>
      </c>
      <c r="M110" s="21"/>
      <c r="N110" s="21">
        <v>38</v>
      </c>
      <c r="O110" s="14"/>
      <c r="P110" s="23"/>
      <c r="Q110" s="14"/>
      <c r="R110" s="21"/>
      <c r="S110" s="22"/>
      <c r="T110" s="23"/>
      <c r="U110" s="21"/>
      <c r="V110" s="14"/>
      <c r="W110" s="21">
        <v>58</v>
      </c>
      <c r="X110" s="14"/>
      <c r="Y110" s="14"/>
      <c r="Z110" s="14"/>
      <c r="AA110" s="21">
        <v>45</v>
      </c>
      <c r="AB110" s="32">
        <f t="shared" si="6"/>
        <v>384</v>
      </c>
      <c r="AC110" s="18"/>
      <c r="AD110" s="13">
        <f t="shared" si="7"/>
        <v>48</v>
      </c>
    </row>
    <row r="111" spans="1:30" x14ac:dyDescent="0.3">
      <c r="A111" s="7">
        <v>104</v>
      </c>
      <c r="B111" s="37" t="s">
        <v>95</v>
      </c>
      <c r="C111" s="21">
        <v>22</v>
      </c>
      <c r="D111" s="21">
        <v>52</v>
      </c>
      <c r="G111" s="21">
        <v>54</v>
      </c>
      <c r="H111" s="21">
        <v>78</v>
      </c>
      <c r="I111" s="21"/>
      <c r="K111" s="21"/>
      <c r="L111" s="21">
        <v>28</v>
      </c>
      <c r="N111" s="21">
        <v>41</v>
      </c>
      <c r="R111" s="21">
        <v>58</v>
      </c>
      <c r="W111" s="21"/>
      <c r="AA111" s="21">
        <v>48</v>
      </c>
      <c r="AB111" s="32">
        <f t="shared" si="6"/>
        <v>381</v>
      </c>
      <c r="AC111" s="18"/>
      <c r="AD111" s="13">
        <f t="shared" si="7"/>
        <v>47.625</v>
      </c>
    </row>
    <row r="112" spans="1:30" x14ac:dyDescent="0.3">
      <c r="A112" s="7">
        <v>105</v>
      </c>
      <c r="B112" s="36" t="s">
        <v>68</v>
      </c>
      <c r="C112" s="21">
        <v>33</v>
      </c>
      <c r="D112" s="21">
        <v>66</v>
      </c>
      <c r="E112" s="21"/>
      <c r="F112" s="21">
        <v>34</v>
      </c>
      <c r="G112" s="22"/>
      <c r="H112" s="21">
        <v>55</v>
      </c>
      <c r="I112" s="14"/>
      <c r="J112" s="14"/>
      <c r="K112" s="22"/>
      <c r="L112" s="21">
        <v>44</v>
      </c>
      <c r="M112" s="21">
        <v>41</v>
      </c>
      <c r="N112" s="22"/>
      <c r="O112" s="21"/>
      <c r="P112" s="21"/>
      <c r="Q112" s="13"/>
      <c r="R112" s="22"/>
      <c r="S112" s="21"/>
      <c r="T112" s="21"/>
      <c r="U112" s="21">
        <v>52</v>
      </c>
      <c r="V112" s="14"/>
      <c r="W112" s="14"/>
      <c r="X112" s="14"/>
      <c r="Y112" s="14"/>
      <c r="Z112" s="21"/>
      <c r="AA112" s="21">
        <v>55</v>
      </c>
      <c r="AB112" s="32">
        <f t="shared" si="6"/>
        <v>380</v>
      </c>
      <c r="AC112" s="18"/>
      <c r="AD112" s="13">
        <f t="shared" si="7"/>
        <v>47.5</v>
      </c>
    </row>
    <row r="113" spans="1:30" x14ac:dyDescent="0.3">
      <c r="A113" s="7">
        <v>106</v>
      </c>
      <c r="B113" s="36" t="s">
        <v>70</v>
      </c>
      <c r="C113" s="21">
        <v>38</v>
      </c>
      <c r="D113" s="21">
        <v>66</v>
      </c>
      <c r="F113" s="21">
        <v>38</v>
      </c>
      <c r="H113" s="21">
        <v>45</v>
      </c>
      <c r="I113" s="21"/>
      <c r="K113" s="21"/>
      <c r="L113" s="21">
        <v>41</v>
      </c>
      <c r="M113" s="21">
        <v>50</v>
      </c>
      <c r="N113" s="21"/>
      <c r="S113" s="21"/>
      <c r="T113" s="21"/>
      <c r="U113" s="21">
        <v>41</v>
      </c>
      <c r="W113" s="21"/>
      <c r="AA113" s="21">
        <v>57</v>
      </c>
      <c r="AB113" s="32">
        <f t="shared" si="6"/>
        <v>376</v>
      </c>
      <c r="AC113" s="18"/>
      <c r="AD113" s="13">
        <f t="shared" si="7"/>
        <v>47</v>
      </c>
    </row>
    <row r="114" spans="1:30" x14ac:dyDescent="0.3">
      <c r="A114" s="7">
        <v>107</v>
      </c>
      <c r="B114" s="37" t="s">
        <v>152</v>
      </c>
      <c r="C114" s="21">
        <v>28</v>
      </c>
      <c r="D114" s="21">
        <v>75</v>
      </c>
      <c r="E114" s="14"/>
      <c r="F114" s="21"/>
      <c r="G114" s="22"/>
      <c r="H114" s="21"/>
      <c r="I114" s="21">
        <v>44</v>
      </c>
      <c r="J114" s="21"/>
      <c r="K114" s="21">
        <v>45</v>
      </c>
      <c r="L114" s="21">
        <v>44</v>
      </c>
      <c r="M114" s="21"/>
      <c r="N114" s="21">
        <v>55</v>
      </c>
      <c r="O114" s="13"/>
      <c r="P114" s="22"/>
      <c r="Q114" s="13"/>
      <c r="R114" s="14"/>
      <c r="S114" s="21"/>
      <c r="T114" s="21"/>
      <c r="U114" s="21"/>
      <c r="V114" s="13"/>
      <c r="W114" s="21">
        <v>55</v>
      </c>
      <c r="X114" s="13"/>
      <c r="Y114" s="21"/>
      <c r="Z114" s="13"/>
      <c r="AA114" s="21">
        <v>28</v>
      </c>
      <c r="AB114" s="32">
        <f t="shared" si="6"/>
        <v>374</v>
      </c>
      <c r="AC114" s="18"/>
      <c r="AD114" s="13">
        <f t="shared" si="7"/>
        <v>46.75</v>
      </c>
    </row>
    <row r="115" spans="1:30" x14ac:dyDescent="0.3">
      <c r="A115" s="7">
        <v>108</v>
      </c>
      <c r="B115" s="37" t="s">
        <v>89</v>
      </c>
      <c r="C115" s="21">
        <v>22</v>
      </c>
      <c r="D115" s="21">
        <v>74</v>
      </c>
      <c r="E115" s="21"/>
      <c r="F115" s="21"/>
      <c r="G115" s="21">
        <v>38</v>
      </c>
      <c r="H115" s="21">
        <v>40</v>
      </c>
      <c r="I115" s="14"/>
      <c r="J115" s="22"/>
      <c r="K115" s="14"/>
      <c r="L115" s="21">
        <v>38</v>
      </c>
      <c r="M115" s="21"/>
      <c r="N115" s="21">
        <v>40</v>
      </c>
      <c r="O115" s="23"/>
      <c r="P115" s="21"/>
      <c r="Q115" s="21"/>
      <c r="R115" s="21">
        <v>70</v>
      </c>
      <c r="S115" s="22"/>
      <c r="T115" s="14"/>
      <c r="U115" s="21"/>
      <c r="V115" s="22"/>
      <c r="W115" s="22"/>
      <c r="X115" s="21"/>
      <c r="Y115" s="22"/>
      <c r="Z115" s="21"/>
      <c r="AA115" s="21">
        <v>49</v>
      </c>
      <c r="AB115" s="32">
        <f t="shared" si="6"/>
        <v>371</v>
      </c>
      <c r="AC115" s="18"/>
      <c r="AD115" s="13">
        <f t="shared" si="7"/>
        <v>46.375</v>
      </c>
    </row>
    <row r="116" spans="1:30" x14ac:dyDescent="0.3">
      <c r="A116" s="7">
        <v>109</v>
      </c>
      <c r="B116" s="36" t="s">
        <v>115</v>
      </c>
      <c r="C116" s="21">
        <v>22</v>
      </c>
      <c r="D116" s="21">
        <v>69</v>
      </c>
      <c r="E116" s="14"/>
      <c r="F116" s="23"/>
      <c r="G116" s="23"/>
      <c r="H116" s="21">
        <v>52</v>
      </c>
      <c r="I116" s="21"/>
      <c r="J116" s="22"/>
      <c r="K116" s="21"/>
      <c r="L116" s="21">
        <v>41</v>
      </c>
      <c r="M116" s="21">
        <v>38</v>
      </c>
      <c r="N116" s="21"/>
      <c r="O116" s="23"/>
      <c r="P116" s="23"/>
      <c r="Q116" s="23"/>
      <c r="R116" s="14"/>
      <c r="S116" s="21">
        <v>41</v>
      </c>
      <c r="T116" s="21">
        <v>54</v>
      </c>
      <c r="U116" s="23"/>
      <c r="V116" s="22"/>
      <c r="W116" s="21"/>
      <c r="X116" s="22"/>
      <c r="Y116" s="22"/>
      <c r="Z116" s="22"/>
      <c r="AA116" s="21">
        <v>52</v>
      </c>
      <c r="AB116" s="32">
        <f t="shared" si="6"/>
        <v>369</v>
      </c>
      <c r="AC116" s="18"/>
      <c r="AD116" s="13">
        <f t="shared" si="7"/>
        <v>46.125</v>
      </c>
    </row>
    <row r="117" spans="1:30" x14ac:dyDescent="0.3">
      <c r="A117" s="7">
        <v>110</v>
      </c>
      <c r="B117" s="36" t="s">
        <v>73</v>
      </c>
      <c r="C117" s="21">
        <v>38</v>
      </c>
      <c r="D117" s="21">
        <v>69</v>
      </c>
      <c r="E117" s="21"/>
      <c r="F117" s="21">
        <v>38</v>
      </c>
      <c r="G117" s="13"/>
      <c r="H117" s="21">
        <v>38</v>
      </c>
      <c r="I117" s="14"/>
      <c r="J117" s="14"/>
      <c r="K117" s="22"/>
      <c r="L117" s="21">
        <v>58</v>
      </c>
      <c r="M117" s="21">
        <v>38</v>
      </c>
      <c r="N117" s="22"/>
      <c r="O117" s="21"/>
      <c r="P117" s="21"/>
      <c r="Q117" s="21"/>
      <c r="R117" s="22"/>
      <c r="S117" s="22"/>
      <c r="T117" s="17"/>
      <c r="U117" s="21">
        <v>37</v>
      </c>
      <c r="V117" s="14"/>
      <c r="W117" s="14"/>
      <c r="X117" s="14"/>
      <c r="Y117" s="14"/>
      <c r="Z117" s="21"/>
      <c r="AA117" s="21">
        <v>52</v>
      </c>
      <c r="AB117" s="32">
        <f t="shared" si="6"/>
        <v>368</v>
      </c>
      <c r="AC117" s="18"/>
      <c r="AD117" s="13">
        <f t="shared" si="7"/>
        <v>46</v>
      </c>
    </row>
    <row r="118" spans="1:30" x14ac:dyDescent="0.3">
      <c r="A118" s="7">
        <v>111</v>
      </c>
      <c r="B118" s="37" t="s">
        <v>103</v>
      </c>
      <c r="C118" s="21">
        <v>34</v>
      </c>
      <c r="D118" s="21">
        <v>38</v>
      </c>
      <c r="E118" s="21"/>
      <c r="F118" s="22"/>
      <c r="G118" s="21">
        <v>38</v>
      </c>
      <c r="H118" s="21">
        <v>54</v>
      </c>
      <c r="I118" s="14"/>
      <c r="J118" s="14"/>
      <c r="K118" s="14"/>
      <c r="L118" s="21">
        <v>53</v>
      </c>
      <c r="M118" s="21"/>
      <c r="N118" s="21">
        <v>45</v>
      </c>
      <c r="O118" s="21"/>
      <c r="P118" s="21"/>
      <c r="Q118" s="14"/>
      <c r="R118" s="21">
        <v>60</v>
      </c>
      <c r="S118" s="14"/>
      <c r="T118" s="14"/>
      <c r="U118" s="14"/>
      <c r="V118" s="21"/>
      <c r="W118" s="14"/>
      <c r="X118" s="14"/>
      <c r="Y118" s="14"/>
      <c r="Z118" s="21"/>
      <c r="AA118" s="21">
        <v>44</v>
      </c>
      <c r="AB118" s="32">
        <f t="shared" si="6"/>
        <v>366</v>
      </c>
      <c r="AC118" s="18"/>
      <c r="AD118" s="13">
        <f t="shared" si="7"/>
        <v>45.75</v>
      </c>
    </row>
    <row r="119" spans="1:30" x14ac:dyDescent="0.3">
      <c r="A119" s="7">
        <v>112</v>
      </c>
      <c r="B119" s="37" t="s">
        <v>154</v>
      </c>
      <c r="C119" s="21">
        <v>39</v>
      </c>
      <c r="D119" s="21">
        <v>65</v>
      </c>
      <c r="E119" s="21"/>
      <c r="F119" s="21"/>
      <c r="G119" s="22"/>
      <c r="H119" s="21"/>
      <c r="I119" s="21">
        <v>45</v>
      </c>
      <c r="J119" s="14"/>
      <c r="K119" s="21">
        <v>41</v>
      </c>
      <c r="L119" s="21">
        <v>58</v>
      </c>
      <c r="M119" s="21"/>
      <c r="N119" s="21">
        <v>38</v>
      </c>
      <c r="O119" s="21"/>
      <c r="P119" s="21"/>
      <c r="Q119" s="13"/>
      <c r="R119" s="22"/>
      <c r="S119" s="13"/>
      <c r="T119" s="22"/>
      <c r="U119" s="21"/>
      <c r="V119" s="14"/>
      <c r="W119" s="21">
        <v>41</v>
      </c>
      <c r="X119" s="21"/>
      <c r="Y119" s="14"/>
      <c r="Z119" s="21"/>
      <c r="AA119" s="21">
        <v>39</v>
      </c>
      <c r="AB119" s="32">
        <f t="shared" si="6"/>
        <v>366</v>
      </c>
      <c r="AC119" s="18"/>
      <c r="AD119" s="13">
        <f t="shared" si="7"/>
        <v>45.75</v>
      </c>
    </row>
    <row r="120" spans="1:30" x14ac:dyDescent="0.3">
      <c r="A120" s="7">
        <v>113</v>
      </c>
      <c r="B120" s="36" t="s">
        <v>67</v>
      </c>
      <c r="C120" s="21">
        <v>66</v>
      </c>
      <c r="D120" s="21">
        <v>62</v>
      </c>
      <c r="E120" s="21"/>
      <c r="F120" s="21">
        <v>29</v>
      </c>
      <c r="G120" s="14"/>
      <c r="H120" s="21">
        <v>28</v>
      </c>
      <c r="I120" s="14"/>
      <c r="J120" s="14"/>
      <c r="K120" s="14"/>
      <c r="L120" s="21">
        <v>40</v>
      </c>
      <c r="M120" s="21">
        <v>39</v>
      </c>
      <c r="N120" s="15"/>
      <c r="O120" s="14"/>
      <c r="P120" s="16"/>
      <c r="Q120" s="22"/>
      <c r="R120" s="16"/>
      <c r="S120" s="21"/>
      <c r="T120" s="21"/>
      <c r="U120" s="21">
        <v>55</v>
      </c>
      <c r="V120" s="14"/>
      <c r="W120" s="14"/>
      <c r="X120" s="21"/>
      <c r="Y120" s="14"/>
      <c r="Z120" s="21"/>
      <c r="AA120" s="21">
        <v>45</v>
      </c>
      <c r="AB120" s="32">
        <f t="shared" si="6"/>
        <v>364</v>
      </c>
      <c r="AC120" s="18"/>
      <c r="AD120" s="13">
        <f t="shared" si="7"/>
        <v>45.5</v>
      </c>
    </row>
    <row r="121" spans="1:30" s="24" customFormat="1" ht="15" customHeight="1" x14ac:dyDescent="0.2">
      <c r="A121" s="7">
        <v>114</v>
      </c>
      <c r="B121" s="37" t="s">
        <v>94</v>
      </c>
      <c r="C121" s="21">
        <v>30</v>
      </c>
      <c r="D121" s="21">
        <v>62</v>
      </c>
      <c r="G121" s="21">
        <v>41</v>
      </c>
      <c r="H121" s="21">
        <v>38</v>
      </c>
      <c r="I121" s="21"/>
      <c r="J121" s="21"/>
      <c r="K121" s="21"/>
      <c r="L121" s="21">
        <v>40</v>
      </c>
      <c r="N121" s="21">
        <v>41</v>
      </c>
      <c r="R121" s="21">
        <v>54</v>
      </c>
      <c r="W121" s="21"/>
      <c r="Y121" s="21"/>
      <c r="AA121" s="21">
        <v>53</v>
      </c>
      <c r="AB121" s="32">
        <f t="shared" si="6"/>
        <v>359</v>
      </c>
      <c r="AC121" s="18"/>
      <c r="AD121" s="13">
        <f t="shared" si="7"/>
        <v>44.875</v>
      </c>
    </row>
    <row r="122" spans="1:30" x14ac:dyDescent="0.3">
      <c r="A122" s="7">
        <v>115</v>
      </c>
      <c r="B122" s="37" t="s">
        <v>147</v>
      </c>
      <c r="C122" s="21">
        <v>41</v>
      </c>
      <c r="D122" s="21">
        <v>58</v>
      </c>
      <c r="F122" s="21"/>
      <c r="H122" s="21"/>
      <c r="I122" s="21">
        <v>52</v>
      </c>
      <c r="J122" s="21"/>
      <c r="K122" s="21">
        <v>33</v>
      </c>
      <c r="L122" s="21">
        <v>44</v>
      </c>
      <c r="M122" s="21"/>
      <c r="N122" s="21">
        <v>41</v>
      </c>
      <c r="U122" s="21"/>
      <c r="W122" s="21">
        <v>44</v>
      </c>
      <c r="Y122" s="21"/>
      <c r="AA122" s="21">
        <v>41</v>
      </c>
      <c r="AB122" s="32">
        <f t="shared" si="6"/>
        <v>354</v>
      </c>
      <c r="AC122" s="18"/>
      <c r="AD122" s="13">
        <f t="shared" si="7"/>
        <v>44.25</v>
      </c>
    </row>
    <row r="123" spans="1:30" x14ac:dyDescent="0.3">
      <c r="A123" s="7">
        <v>116</v>
      </c>
      <c r="B123" s="36" t="s">
        <v>75</v>
      </c>
      <c r="C123" s="21">
        <v>41</v>
      </c>
      <c r="D123" s="21">
        <v>74</v>
      </c>
      <c r="E123" s="14"/>
      <c r="F123" s="21">
        <v>45</v>
      </c>
      <c r="G123" s="21"/>
      <c r="H123" s="21">
        <v>54</v>
      </c>
      <c r="I123" s="21"/>
      <c r="J123" s="21"/>
      <c r="K123" s="21"/>
      <c r="L123" s="21">
        <v>22</v>
      </c>
      <c r="M123" s="21">
        <v>33</v>
      </c>
      <c r="N123" s="21"/>
      <c r="O123" s="22"/>
      <c r="P123" s="14"/>
      <c r="Q123" s="22"/>
      <c r="R123" s="21"/>
      <c r="S123" s="14"/>
      <c r="T123" s="14"/>
      <c r="U123" s="21">
        <v>45</v>
      </c>
      <c r="V123" s="22"/>
      <c r="W123" s="21"/>
      <c r="X123" s="22"/>
      <c r="Y123" s="21"/>
      <c r="Z123" s="22"/>
      <c r="AA123" s="21">
        <v>38</v>
      </c>
      <c r="AB123" s="32">
        <f t="shared" si="6"/>
        <v>352</v>
      </c>
      <c r="AC123" s="18"/>
      <c r="AD123" s="13">
        <f t="shared" si="7"/>
        <v>44</v>
      </c>
    </row>
    <row r="124" spans="1:30" x14ac:dyDescent="0.3">
      <c r="A124" s="7">
        <v>117</v>
      </c>
      <c r="B124" s="36" t="s">
        <v>79</v>
      </c>
      <c r="C124" s="21">
        <v>28</v>
      </c>
      <c r="D124" s="21">
        <v>58</v>
      </c>
      <c r="E124" s="21"/>
      <c r="F124" s="21">
        <v>41</v>
      </c>
      <c r="G124" s="22"/>
      <c r="H124" s="21">
        <v>44</v>
      </c>
      <c r="I124" s="14"/>
      <c r="J124" s="14"/>
      <c r="K124" s="22"/>
      <c r="L124" s="21">
        <v>39</v>
      </c>
      <c r="M124" s="21">
        <v>41</v>
      </c>
      <c r="N124" s="23"/>
      <c r="O124" s="21"/>
      <c r="P124" s="21"/>
      <c r="Q124" s="21"/>
      <c r="R124" s="22"/>
      <c r="S124" s="14"/>
      <c r="T124" s="23"/>
      <c r="U124" s="21">
        <v>41</v>
      </c>
      <c r="V124" s="14"/>
      <c r="W124" s="14"/>
      <c r="X124" s="21"/>
      <c r="Y124" s="14"/>
      <c r="Z124" s="21"/>
      <c r="AA124" s="21">
        <v>52</v>
      </c>
      <c r="AB124" s="32">
        <f t="shared" si="6"/>
        <v>344</v>
      </c>
      <c r="AC124" s="18"/>
      <c r="AD124" s="13">
        <f t="shared" si="7"/>
        <v>43</v>
      </c>
    </row>
    <row r="125" spans="1:30" x14ac:dyDescent="0.3">
      <c r="A125" s="7">
        <v>118</v>
      </c>
      <c r="B125" s="36" t="s">
        <v>74</v>
      </c>
      <c r="C125" s="21">
        <v>45</v>
      </c>
      <c r="D125" s="21">
        <v>52</v>
      </c>
      <c r="E125" s="21"/>
      <c r="F125" s="21">
        <v>35</v>
      </c>
      <c r="G125" s="14"/>
      <c r="H125" s="21">
        <v>38</v>
      </c>
      <c r="I125" s="14"/>
      <c r="J125" s="14"/>
      <c r="K125" s="14"/>
      <c r="L125" s="21">
        <v>34</v>
      </c>
      <c r="M125" s="21">
        <v>41</v>
      </c>
      <c r="N125" s="14"/>
      <c r="O125" s="21"/>
      <c r="P125" s="21"/>
      <c r="Q125" s="21"/>
      <c r="R125" s="14"/>
      <c r="S125" s="14"/>
      <c r="T125" s="14"/>
      <c r="U125" s="21">
        <v>45</v>
      </c>
      <c r="V125" s="14"/>
      <c r="W125" s="14"/>
      <c r="X125" s="14"/>
      <c r="Y125" s="14"/>
      <c r="Z125" s="21"/>
      <c r="AA125" s="21">
        <v>41</v>
      </c>
      <c r="AB125" s="32">
        <f t="shared" si="6"/>
        <v>331</v>
      </c>
      <c r="AC125" s="18"/>
      <c r="AD125" s="13">
        <f t="shared" si="7"/>
        <v>41.375</v>
      </c>
    </row>
    <row r="126" spans="1:30" x14ac:dyDescent="0.3">
      <c r="AB126" s="32"/>
      <c r="AC126" s="18"/>
      <c r="AD126" s="13"/>
    </row>
    <row r="127" spans="1:30" x14ac:dyDescent="0.3">
      <c r="A127" s="24"/>
      <c r="C127" s="24">
        <f t="shared" ref="C127:AA127" si="8">AVERAGE(C8:C125)</f>
        <v>54.584745762711862</v>
      </c>
      <c r="D127" s="24">
        <f t="shared" si="8"/>
        <v>77.449152542372886</v>
      </c>
      <c r="E127" s="24">
        <f t="shared" si="8"/>
        <v>73.114285714285714</v>
      </c>
      <c r="F127" s="24">
        <f t="shared" si="8"/>
        <v>57.666666666666664</v>
      </c>
      <c r="G127" s="24">
        <f t="shared" si="8"/>
        <v>57.541666666666664</v>
      </c>
      <c r="H127" s="24">
        <f t="shared" si="8"/>
        <v>55.017241379310342</v>
      </c>
      <c r="I127" s="24">
        <f t="shared" si="8"/>
        <v>63.8125</v>
      </c>
      <c r="J127" s="24">
        <f t="shared" si="8"/>
        <v>67.714285714285708</v>
      </c>
      <c r="K127" s="24">
        <f t="shared" si="8"/>
        <v>58.625</v>
      </c>
      <c r="L127" s="24">
        <f t="shared" si="8"/>
        <v>58.406779661016948</v>
      </c>
      <c r="M127" s="24">
        <f t="shared" si="8"/>
        <v>63</v>
      </c>
      <c r="N127" s="24">
        <f t="shared" si="8"/>
        <v>58.765957446808514</v>
      </c>
      <c r="O127" s="24">
        <f t="shared" si="8"/>
        <v>73.75</v>
      </c>
      <c r="P127" s="24">
        <f t="shared" si="8"/>
        <v>67.833333333333329</v>
      </c>
      <c r="Q127" s="24">
        <f t="shared" si="8"/>
        <v>79.625</v>
      </c>
      <c r="R127" s="24">
        <f t="shared" si="8"/>
        <v>70.5</v>
      </c>
      <c r="S127" s="24">
        <f t="shared" si="8"/>
        <v>64.916666666666671</v>
      </c>
      <c r="T127" s="24">
        <f t="shared" si="8"/>
        <v>71.166666666666671</v>
      </c>
      <c r="U127" s="24">
        <f t="shared" si="8"/>
        <v>59.243243243243242</v>
      </c>
      <c r="V127" s="24">
        <f t="shared" si="8"/>
        <v>88.333333333333329</v>
      </c>
      <c r="W127" s="24">
        <f t="shared" si="8"/>
        <v>62</v>
      </c>
      <c r="X127" s="24">
        <f t="shared" si="8"/>
        <v>67.307692307692307</v>
      </c>
      <c r="Y127" s="24">
        <f t="shared" si="8"/>
        <v>61.142857142857146</v>
      </c>
      <c r="Z127" s="24">
        <f t="shared" si="8"/>
        <v>69.930232558139537</v>
      </c>
      <c r="AA127" s="24">
        <f t="shared" si="8"/>
        <v>63.472527472527474</v>
      </c>
      <c r="AB127" s="32">
        <f>SUM(C127:AA127)</f>
        <v>1644.9198342785851</v>
      </c>
      <c r="AC127" s="18"/>
      <c r="AD127" s="13">
        <f>AVERAGE(C127:AA127)</f>
        <v>65.796793371143409</v>
      </c>
    </row>
  </sheetData>
  <sortState ref="B8:AD125">
    <sortCondition descending="1" ref="AD125"/>
  </sortState>
  <mergeCells count="5">
    <mergeCell ref="A1:D5"/>
    <mergeCell ref="E1:AD1"/>
    <mergeCell ref="E2:AD2"/>
    <mergeCell ref="E3:AD3"/>
    <mergeCell ref="E4:AD4"/>
  </mergeCells>
  <printOptions gridLines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D127"/>
  <sheetViews>
    <sheetView topLeftCell="A3" workbookViewId="0">
      <selection activeCell="AE13" sqref="AE13"/>
    </sheetView>
  </sheetViews>
  <sheetFormatPr defaultRowHeight="14.4" x14ac:dyDescent="0.3"/>
  <cols>
    <col min="1" max="1" width="2.5546875" style="19" customWidth="1"/>
    <col min="2" max="2" width="10.33203125" style="24" customWidth="1"/>
    <col min="3" max="5" width="2.6640625" customWidth="1"/>
    <col min="6" max="6" width="3" style="45" customWidth="1"/>
    <col min="7" max="27" width="2.6640625" customWidth="1"/>
    <col min="28" max="28" width="4.33203125" style="33" customWidth="1"/>
    <col min="29" max="29" width="0.6640625" customWidth="1"/>
    <col min="30" max="30" width="3.88671875" style="24" customWidth="1"/>
  </cols>
  <sheetData>
    <row r="1" spans="1:30" x14ac:dyDescent="0.3">
      <c r="A1" s="67" t="s">
        <v>183</v>
      </c>
      <c r="B1" s="67"/>
      <c r="C1" s="67"/>
      <c r="D1" s="67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67"/>
      <c r="B2" s="67"/>
      <c r="C2" s="67"/>
      <c r="D2" s="67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x14ac:dyDescent="0.3">
      <c r="A3" s="67"/>
      <c r="B3" s="67"/>
      <c r="C3" s="67"/>
      <c r="D3" s="67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0" x14ac:dyDescent="0.3">
      <c r="A4" s="67"/>
      <c r="B4" s="67"/>
      <c r="C4" s="67"/>
      <c r="D4" s="67"/>
      <c r="E4" s="66" t="s">
        <v>170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0" x14ac:dyDescent="0.3">
      <c r="A5" s="67"/>
      <c r="B5" s="67"/>
      <c r="C5" s="67"/>
      <c r="D5" s="67"/>
      <c r="N5" s="9"/>
      <c r="O5" s="10"/>
      <c r="AB5" s="30"/>
      <c r="AC5" s="11"/>
      <c r="AD5" s="28"/>
    </row>
    <row r="6" spans="1:30" ht="136.19999999999999" x14ac:dyDescent="0.3">
      <c r="A6" s="20" t="s">
        <v>171</v>
      </c>
      <c r="B6" s="34" t="s">
        <v>172</v>
      </c>
      <c r="C6" s="27" t="s">
        <v>3</v>
      </c>
      <c r="D6" s="27" t="s">
        <v>19</v>
      </c>
      <c r="E6" s="27" t="s">
        <v>163</v>
      </c>
      <c r="F6" s="27" t="s">
        <v>20</v>
      </c>
      <c r="G6" s="27" t="s">
        <v>174</v>
      </c>
      <c r="H6" s="27" t="s">
        <v>168</v>
      </c>
      <c r="I6" s="27" t="s">
        <v>159</v>
      </c>
      <c r="J6" s="27" t="s">
        <v>140</v>
      </c>
      <c r="K6" s="27" t="s">
        <v>160</v>
      </c>
      <c r="L6" s="27" t="s">
        <v>21</v>
      </c>
      <c r="M6" s="27" t="s">
        <v>22</v>
      </c>
      <c r="N6" s="27" t="s">
        <v>169</v>
      </c>
      <c r="O6" s="27" t="s">
        <v>46</v>
      </c>
      <c r="P6" s="27" t="s">
        <v>23</v>
      </c>
      <c r="Q6" s="27" t="s">
        <v>24</v>
      </c>
      <c r="R6" s="27" t="s">
        <v>109</v>
      </c>
      <c r="S6" s="27" t="s">
        <v>123</v>
      </c>
      <c r="T6" s="27" t="s">
        <v>124</v>
      </c>
      <c r="U6" s="27" t="s">
        <v>173</v>
      </c>
      <c r="V6" s="27" t="s">
        <v>131</v>
      </c>
      <c r="W6" s="27" t="s">
        <v>179</v>
      </c>
      <c r="X6" s="27" t="s">
        <v>164</v>
      </c>
      <c r="Y6" s="27" t="s">
        <v>141</v>
      </c>
      <c r="Z6" s="27" t="s">
        <v>165</v>
      </c>
      <c r="AA6" s="27" t="s">
        <v>47</v>
      </c>
      <c r="AB6" s="31" t="s">
        <v>166</v>
      </c>
      <c r="AC6" s="12"/>
      <c r="AD6" s="29" t="s">
        <v>167</v>
      </c>
    </row>
    <row r="7" spans="1:30" x14ac:dyDescent="0.3">
      <c r="N7" s="9"/>
      <c r="O7" s="10"/>
      <c r="AB7" s="30"/>
      <c r="AC7" s="11"/>
      <c r="AD7" s="28"/>
    </row>
    <row r="8" spans="1:30" x14ac:dyDescent="0.3">
      <c r="A8" s="7">
        <v>1</v>
      </c>
      <c r="B8" s="21" t="s">
        <v>28</v>
      </c>
      <c r="C8" s="21">
        <v>93</v>
      </c>
      <c r="D8" s="21">
        <v>98</v>
      </c>
      <c r="E8" s="21">
        <v>98</v>
      </c>
      <c r="F8" s="43"/>
      <c r="G8" s="22"/>
      <c r="H8" s="21"/>
      <c r="I8" s="14"/>
      <c r="J8" s="14"/>
      <c r="K8" s="22"/>
      <c r="L8" s="21">
        <v>93</v>
      </c>
      <c r="M8" s="21">
        <v>100</v>
      </c>
      <c r="N8" s="25"/>
      <c r="O8" s="21">
        <v>92</v>
      </c>
      <c r="P8" s="21">
        <v>98</v>
      </c>
      <c r="Q8" s="14"/>
      <c r="R8" s="25"/>
      <c r="S8" s="25"/>
      <c r="T8" s="22"/>
      <c r="U8" s="21"/>
      <c r="V8" s="14"/>
      <c r="W8" s="14"/>
      <c r="X8" s="21"/>
      <c r="Y8" s="14"/>
      <c r="Z8" s="21">
        <v>93</v>
      </c>
      <c r="AA8" s="21">
        <v>99</v>
      </c>
      <c r="AB8" s="32">
        <f t="shared" ref="AB8:AB39" si="0">SUM(C8:AA8)</f>
        <v>864</v>
      </c>
      <c r="AC8" s="18"/>
      <c r="AD8" s="13">
        <f t="shared" ref="AD8:AD39" si="1">AVERAGE(C8:AA8)</f>
        <v>96</v>
      </c>
    </row>
    <row r="9" spans="1:30" x14ac:dyDescent="0.3">
      <c r="A9" s="7">
        <v>2</v>
      </c>
      <c r="B9" s="22" t="s">
        <v>125</v>
      </c>
      <c r="C9" s="21">
        <v>96</v>
      </c>
      <c r="D9" s="21">
        <v>96</v>
      </c>
      <c r="E9" s="21">
        <v>91</v>
      </c>
      <c r="F9" s="43"/>
      <c r="G9" s="23"/>
      <c r="H9" s="21">
        <v>95</v>
      </c>
      <c r="I9" s="21"/>
      <c r="J9" s="23"/>
      <c r="K9" s="21"/>
      <c r="L9" s="21">
        <v>91</v>
      </c>
      <c r="M9" s="21">
        <v>90</v>
      </c>
      <c r="N9" s="21"/>
      <c r="O9" s="23"/>
      <c r="P9" s="23"/>
      <c r="Q9" s="23"/>
      <c r="R9" s="23"/>
      <c r="S9" s="23"/>
      <c r="T9" s="23"/>
      <c r="U9" s="23"/>
      <c r="V9" s="21">
        <v>98</v>
      </c>
      <c r="W9" s="21"/>
      <c r="X9" s="23"/>
      <c r="Y9" s="23"/>
      <c r="Z9" s="21">
        <v>86</v>
      </c>
      <c r="AA9" s="21"/>
      <c r="AB9" s="32">
        <f t="shared" si="0"/>
        <v>743</v>
      </c>
      <c r="AC9" s="18"/>
      <c r="AD9" s="13">
        <f t="shared" si="1"/>
        <v>92.875</v>
      </c>
    </row>
    <row r="10" spans="1:30" x14ac:dyDescent="0.3">
      <c r="A10" s="7">
        <v>3</v>
      </c>
      <c r="B10" s="22" t="s">
        <v>12</v>
      </c>
      <c r="C10" s="21">
        <v>88</v>
      </c>
      <c r="D10" s="21">
        <v>100</v>
      </c>
      <c r="E10" s="21"/>
      <c r="F10" s="21">
        <v>85</v>
      </c>
      <c r="G10" s="13"/>
      <c r="H10" s="22"/>
      <c r="I10" s="14"/>
      <c r="J10" s="14"/>
      <c r="K10" s="13"/>
      <c r="L10" s="21">
        <v>91</v>
      </c>
      <c r="M10" s="21">
        <v>98</v>
      </c>
      <c r="N10" s="13"/>
      <c r="O10" s="21"/>
      <c r="P10" s="21">
        <v>94</v>
      </c>
      <c r="Q10" s="21">
        <v>90</v>
      </c>
      <c r="R10" s="13"/>
      <c r="S10" s="14"/>
      <c r="T10" s="13"/>
      <c r="U10" s="21">
        <v>85</v>
      </c>
      <c r="V10" s="14"/>
      <c r="W10" s="14"/>
      <c r="X10" s="21"/>
      <c r="Y10" s="14"/>
      <c r="Z10" s="21">
        <v>96</v>
      </c>
      <c r="AA10" s="21"/>
      <c r="AB10" s="32">
        <f t="shared" si="0"/>
        <v>827</v>
      </c>
      <c r="AC10" s="18"/>
      <c r="AD10" s="13">
        <f t="shared" si="1"/>
        <v>91.888888888888886</v>
      </c>
    </row>
    <row r="11" spans="1:30" x14ac:dyDescent="0.3">
      <c r="A11" s="7">
        <v>4</v>
      </c>
      <c r="B11" s="21" t="s">
        <v>11</v>
      </c>
      <c r="C11" s="21">
        <v>89</v>
      </c>
      <c r="D11" s="21">
        <v>99</v>
      </c>
      <c r="E11" s="21"/>
      <c r="F11" s="21">
        <v>90</v>
      </c>
      <c r="G11" s="23"/>
      <c r="H11" s="21"/>
      <c r="I11" s="23"/>
      <c r="J11" s="23"/>
      <c r="K11" s="23"/>
      <c r="L11" s="21">
        <v>93</v>
      </c>
      <c r="M11" s="21">
        <v>95</v>
      </c>
      <c r="N11" s="23"/>
      <c r="O11" s="23"/>
      <c r="P11" s="21">
        <v>94</v>
      </c>
      <c r="Q11" s="21">
        <v>87</v>
      </c>
      <c r="R11" s="23"/>
      <c r="S11" s="23"/>
      <c r="T11" s="23"/>
      <c r="U11" s="21">
        <v>87</v>
      </c>
      <c r="V11" s="21"/>
      <c r="W11" s="21"/>
      <c r="X11" s="23"/>
      <c r="Y11" s="23"/>
      <c r="Z11" s="21">
        <v>92</v>
      </c>
      <c r="AA11" s="23"/>
      <c r="AB11" s="32">
        <f t="shared" si="0"/>
        <v>826</v>
      </c>
      <c r="AC11" s="18"/>
      <c r="AD11" s="13">
        <f t="shared" si="1"/>
        <v>91.777777777777771</v>
      </c>
    </row>
    <row r="12" spans="1:30" x14ac:dyDescent="0.3">
      <c r="A12" s="7">
        <v>5</v>
      </c>
      <c r="B12" s="22" t="s">
        <v>49</v>
      </c>
      <c r="C12" s="21">
        <v>88</v>
      </c>
      <c r="D12" s="21">
        <v>95</v>
      </c>
      <c r="E12" s="21">
        <v>95</v>
      </c>
      <c r="F12" s="43"/>
      <c r="G12" s="21"/>
      <c r="H12" s="21"/>
      <c r="I12" s="14"/>
      <c r="J12" s="14"/>
      <c r="K12" s="23"/>
      <c r="L12" s="21">
        <v>91</v>
      </c>
      <c r="M12" s="21">
        <v>91</v>
      </c>
      <c r="N12" s="21"/>
      <c r="O12" s="14"/>
      <c r="P12" s="23"/>
      <c r="Q12" s="14"/>
      <c r="R12" s="21"/>
      <c r="S12" s="22"/>
      <c r="T12" s="23"/>
      <c r="U12" s="21">
        <v>82</v>
      </c>
      <c r="V12" s="14"/>
      <c r="W12" s="14"/>
      <c r="X12" s="21">
        <v>92</v>
      </c>
      <c r="Y12" s="14"/>
      <c r="Z12" s="21">
        <v>88</v>
      </c>
      <c r="AA12" s="21"/>
      <c r="AB12" s="32">
        <f t="shared" si="0"/>
        <v>722</v>
      </c>
      <c r="AC12" s="18"/>
      <c r="AD12" s="13">
        <f t="shared" si="1"/>
        <v>90.25</v>
      </c>
    </row>
    <row r="13" spans="1:30" x14ac:dyDescent="0.3">
      <c r="A13" s="7">
        <v>6</v>
      </c>
      <c r="B13" s="22" t="s">
        <v>13</v>
      </c>
      <c r="C13" s="21">
        <v>87</v>
      </c>
      <c r="D13" s="21">
        <v>96</v>
      </c>
      <c r="E13" s="21"/>
      <c r="F13" s="21">
        <v>84</v>
      </c>
      <c r="G13" s="23"/>
      <c r="H13" s="21"/>
      <c r="I13" s="21"/>
      <c r="J13" s="23"/>
      <c r="K13" s="21"/>
      <c r="L13" s="21">
        <v>96</v>
      </c>
      <c r="M13" s="21">
        <v>95</v>
      </c>
      <c r="N13" s="21"/>
      <c r="O13" s="23"/>
      <c r="P13" s="21">
        <v>89</v>
      </c>
      <c r="Q13" s="21">
        <v>82</v>
      </c>
      <c r="R13" s="23"/>
      <c r="S13" s="23"/>
      <c r="T13" s="23"/>
      <c r="U13" s="21">
        <v>84</v>
      </c>
      <c r="V13" s="21"/>
      <c r="W13" s="21"/>
      <c r="X13" s="23"/>
      <c r="Y13" s="23"/>
      <c r="Z13" s="21">
        <v>90</v>
      </c>
      <c r="AA13" s="21"/>
      <c r="AB13" s="32">
        <f t="shared" si="0"/>
        <v>803</v>
      </c>
      <c r="AC13" s="18"/>
      <c r="AD13" s="13">
        <f t="shared" si="1"/>
        <v>89.222222222222229</v>
      </c>
    </row>
    <row r="14" spans="1:30" x14ac:dyDescent="0.3">
      <c r="A14" s="7">
        <v>6</v>
      </c>
      <c r="B14" s="22" t="s">
        <v>31</v>
      </c>
      <c r="C14" s="21">
        <v>84</v>
      </c>
      <c r="D14" s="21">
        <v>96</v>
      </c>
      <c r="E14" s="21">
        <v>92</v>
      </c>
      <c r="F14" s="43"/>
      <c r="G14" s="21"/>
      <c r="H14" s="21"/>
      <c r="I14" s="21"/>
      <c r="J14" s="23"/>
      <c r="K14" s="21"/>
      <c r="L14" s="21">
        <v>86</v>
      </c>
      <c r="M14" s="21">
        <v>88</v>
      </c>
      <c r="N14" s="21"/>
      <c r="O14" s="21">
        <v>94</v>
      </c>
      <c r="P14" s="21">
        <v>85</v>
      </c>
      <c r="Q14" s="23"/>
      <c r="R14" s="21"/>
      <c r="S14" s="23"/>
      <c r="T14" s="23"/>
      <c r="U14" s="23"/>
      <c r="V14" s="23"/>
      <c r="W14" s="21"/>
      <c r="X14" s="23"/>
      <c r="Y14" s="23"/>
      <c r="Z14" s="21">
        <v>85</v>
      </c>
      <c r="AA14" s="21">
        <v>93</v>
      </c>
      <c r="AB14" s="32">
        <f t="shared" si="0"/>
        <v>803</v>
      </c>
      <c r="AC14" s="18"/>
      <c r="AD14" s="13">
        <f t="shared" si="1"/>
        <v>89.222222222222229</v>
      </c>
    </row>
    <row r="15" spans="1:30" x14ac:dyDescent="0.3">
      <c r="A15" s="7">
        <v>8</v>
      </c>
      <c r="B15" s="22" t="s">
        <v>30</v>
      </c>
      <c r="C15" s="21">
        <v>83</v>
      </c>
      <c r="D15" s="21">
        <v>95</v>
      </c>
      <c r="E15" s="21">
        <v>95</v>
      </c>
      <c r="F15" s="43"/>
      <c r="G15" s="22"/>
      <c r="H15" s="22"/>
      <c r="I15" s="14"/>
      <c r="J15" s="14"/>
      <c r="K15" s="22"/>
      <c r="L15" s="21">
        <v>91</v>
      </c>
      <c r="M15" s="21">
        <v>89</v>
      </c>
      <c r="N15" s="13"/>
      <c r="O15" s="21">
        <v>87</v>
      </c>
      <c r="P15" s="21">
        <v>80</v>
      </c>
      <c r="Q15" s="21"/>
      <c r="R15" s="22"/>
      <c r="S15" s="14"/>
      <c r="T15" s="13"/>
      <c r="U15" s="21"/>
      <c r="V15" s="14"/>
      <c r="W15" s="14"/>
      <c r="X15" s="21"/>
      <c r="Y15" s="14"/>
      <c r="Z15" s="21">
        <v>84</v>
      </c>
      <c r="AA15" s="21">
        <v>95</v>
      </c>
      <c r="AB15" s="32">
        <f t="shared" si="0"/>
        <v>799</v>
      </c>
      <c r="AC15" s="18"/>
      <c r="AD15" s="13">
        <f t="shared" si="1"/>
        <v>88.777777777777771</v>
      </c>
    </row>
    <row r="16" spans="1:30" x14ac:dyDescent="0.3">
      <c r="A16" s="7">
        <v>9</v>
      </c>
      <c r="B16" s="22" t="s">
        <v>126</v>
      </c>
      <c r="C16" s="21">
        <v>77</v>
      </c>
      <c r="D16" s="21">
        <v>97</v>
      </c>
      <c r="E16" s="21">
        <v>88</v>
      </c>
      <c r="F16" s="21"/>
      <c r="G16" s="21"/>
      <c r="H16" s="21">
        <v>100</v>
      </c>
      <c r="I16" s="14"/>
      <c r="J16" s="14"/>
      <c r="K16" s="14"/>
      <c r="L16" s="21">
        <v>83</v>
      </c>
      <c r="M16" s="21">
        <v>88</v>
      </c>
      <c r="N16" s="21"/>
      <c r="O16" s="22"/>
      <c r="P16" s="14"/>
      <c r="Q16" s="22"/>
      <c r="R16" s="21"/>
      <c r="S16" s="14"/>
      <c r="T16" s="14"/>
      <c r="U16" s="21"/>
      <c r="V16" s="21">
        <v>91</v>
      </c>
      <c r="W16" s="14"/>
      <c r="X16" s="14"/>
      <c r="Y16" s="14"/>
      <c r="Z16" s="21">
        <v>83</v>
      </c>
      <c r="AA16" s="21"/>
      <c r="AB16" s="32">
        <f t="shared" si="0"/>
        <v>707</v>
      </c>
      <c r="AC16" s="18"/>
      <c r="AD16" s="13">
        <f t="shared" si="1"/>
        <v>88.375</v>
      </c>
    </row>
    <row r="17" spans="1:30" x14ac:dyDescent="0.3">
      <c r="A17" s="7">
        <v>10</v>
      </c>
      <c r="B17" s="22" t="s">
        <v>29</v>
      </c>
      <c r="C17" s="21">
        <v>84</v>
      </c>
      <c r="D17" s="21">
        <v>95</v>
      </c>
      <c r="E17" s="21">
        <v>91</v>
      </c>
      <c r="F17" s="42"/>
      <c r="G17" s="21"/>
      <c r="H17" s="21"/>
      <c r="I17" s="14"/>
      <c r="J17" s="14"/>
      <c r="K17" s="26"/>
      <c r="L17" s="21">
        <v>86</v>
      </c>
      <c r="M17" s="21">
        <v>88</v>
      </c>
      <c r="N17" s="21"/>
      <c r="O17" s="21">
        <v>88</v>
      </c>
      <c r="P17" s="21">
        <v>83</v>
      </c>
      <c r="Q17" s="14"/>
      <c r="R17" s="21"/>
      <c r="S17" s="26"/>
      <c r="T17" s="26"/>
      <c r="U17" s="26"/>
      <c r="V17" s="14"/>
      <c r="W17" s="14"/>
      <c r="X17" s="14"/>
      <c r="Y17" s="14"/>
      <c r="Z17" s="21">
        <v>84</v>
      </c>
      <c r="AA17" s="21">
        <v>93</v>
      </c>
      <c r="AB17" s="32">
        <f t="shared" si="0"/>
        <v>792</v>
      </c>
      <c r="AC17" s="18"/>
      <c r="AD17" s="13">
        <f t="shared" si="1"/>
        <v>88</v>
      </c>
    </row>
    <row r="18" spans="1:30" x14ac:dyDescent="0.3">
      <c r="A18" s="7">
        <v>11</v>
      </c>
      <c r="B18" s="22" t="s">
        <v>114</v>
      </c>
      <c r="C18" s="21">
        <v>83</v>
      </c>
      <c r="D18" s="21">
        <v>93</v>
      </c>
      <c r="E18" s="22"/>
      <c r="F18" s="40"/>
      <c r="G18" s="21"/>
      <c r="H18" s="21">
        <v>86</v>
      </c>
      <c r="I18" s="14"/>
      <c r="J18" s="22"/>
      <c r="K18" s="14"/>
      <c r="L18" s="21">
        <v>84</v>
      </c>
      <c r="M18" s="21">
        <v>85</v>
      </c>
      <c r="N18" s="21"/>
      <c r="O18" s="22"/>
      <c r="P18" s="14"/>
      <c r="Q18" s="22"/>
      <c r="R18" s="21"/>
      <c r="S18" s="21">
        <v>90</v>
      </c>
      <c r="T18" s="21">
        <v>89</v>
      </c>
      <c r="U18" s="14"/>
      <c r="V18" s="22"/>
      <c r="W18" s="22"/>
      <c r="X18" s="22"/>
      <c r="Y18" s="22"/>
      <c r="Z18" s="22"/>
      <c r="AA18" s="21">
        <v>91</v>
      </c>
      <c r="AB18" s="32">
        <f t="shared" si="0"/>
        <v>701</v>
      </c>
      <c r="AC18" s="18"/>
      <c r="AD18" s="13">
        <f t="shared" si="1"/>
        <v>87.625</v>
      </c>
    </row>
    <row r="19" spans="1:30" x14ac:dyDescent="0.3">
      <c r="A19" s="7">
        <v>12</v>
      </c>
      <c r="B19" s="22" t="s">
        <v>50</v>
      </c>
      <c r="C19" s="21">
        <v>88</v>
      </c>
      <c r="D19" s="21">
        <v>95</v>
      </c>
      <c r="E19" s="21">
        <v>89</v>
      </c>
      <c r="F19" s="43"/>
      <c r="G19" s="23"/>
      <c r="H19" s="21"/>
      <c r="I19" s="14"/>
      <c r="J19" s="14"/>
      <c r="K19" s="23"/>
      <c r="L19" s="21">
        <v>82</v>
      </c>
      <c r="M19" s="21">
        <v>89</v>
      </c>
      <c r="N19" s="23"/>
      <c r="O19" s="23"/>
      <c r="P19" s="23"/>
      <c r="Q19" s="23"/>
      <c r="R19" s="23"/>
      <c r="S19" s="14"/>
      <c r="T19" s="23"/>
      <c r="U19" s="21">
        <v>77</v>
      </c>
      <c r="V19" s="21"/>
      <c r="W19" s="14"/>
      <c r="X19" s="21">
        <v>86</v>
      </c>
      <c r="Y19" s="14"/>
      <c r="Z19" s="21">
        <v>83</v>
      </c>
      <c r="AA19" s="21"/>
      <c r="AB19" s="32">
        <f t="shared" si="0"/>
        <v>689</v>
      </c>
      <c r="AC19" s="18"/>
      <c r="AD19" s="13">
        <f t="shared" si="1"/>
        <v>86.125</v>
      </c>
    </row>
    <row r="20" spans="1:30" x14ac:dyDescent="0.3">
      <c r="A20" s="7">
        <v>13</v>
      </c>
      <c r="B20" s="22" t="s">
        <v>93</v>
      </c>
      <c r="C20" s="21">
        <v>81</v>
      </c>
      <c r="D20" s="21">
        <v>91</v>
      </c>
      <c r="E20" s="21"/>
      <c r="F20" s="43"/>
      <c r="G20" s="21">
        <v>88</v>
      </c>
      <c r="H20" s="21">
        <v>81</v>
      </c>
      <c r="I20" s="23"/>
      <c r="J20" s="23"/>
      <c r="K20" s="23"/>
      <c r="L20" s="21">
        <v>80</v>
      </c>
      <c r="M20" s="21"/>
      <c r="N20" s="21">
        <v>91</v>
      </c>
      <c r="O20" s="21"/>
      <c r="P20" s="21"/>
      <c r="Q20" s="23"/>
      <c r="R20" s="21">
        <v>84</v>
      </c>
      <c r="S20" s="23"/>
      <c r="T20" s="23"/>
      <c r="U20" s="23"/>
      <c r="V20" s="21"/>
      <c r="W20" s="21"/>
      <c r="X20" s="23"/>
      <c r="Y20" s="23"/>
      <c r="Z20" s="21"/>
      <c r="AA20" s="21">
        <v>81</v>
      </c>
      <c r="AB20" s="32">
        <f t="shared" si="0"/>
        <v>677</v>
      </c>
      <c r="AC20" s="18"/>
      <c r="AD20" s="13">
        <f t="shared" si="1"/>
        <v>84.625</v>
      </c>
    </row>
    <row r="21" spans="1:30" x14ac:dyDescent="0.3">
      <c r="A21" s="7">
        <v>14</v>
      </c>
      <c r="B21" s="22" t="s">
        <v>86</v>
      </c>
      <c r="C21" s="21">
        <v>77</v>
      </c>
      <c r="D21" s="21">
        <v>90</v>
      </c>
      <c r="E21" s="21"/>
      <c r="F21" s="43"/>
      <c r="G21" s="21">
        <v>84</v>
      </c>
      <c r="H21" s="21">
        <v>80</v>
      </c>
      <c r="I21" s="14"/>
      <c r="J21" s="14"/>
      <c r="K21" s="22"/>
      <c r="L21" s="21">
        <v>77</v>
      </c>
      <c r="M21" s="21"/>
      <c r="N21" s="21">
        <v>95</v>
      </c>
      <c r="O21" s="14"/>
      <c r="P21" s="22"/>
      <c r="Q21" s="13"/>
      <c r="R21" s="21">
        <v>86</v>
      </c>
      <c r="S21" s="13"/>
      <c r="T21" s="22"/>
      <c r="U21" s="21"/>
      <c r="V21" s="14"/>
      <c r="W21" s="14"/>
      <c r="X21" s="21"/>
      <c r="Y21" s="14"/>
      <c r="Z21" s="21"/>
      <c r="AA21" s="21">
        <v>84</v>
      </c>
      <c r="AB21" s="32">
        <f t="shared" si="0"/>
        <v>673</v>
      </c>
      <c r="AC21" s="18"/>
      <c r="AD21" s="13">
        <f t="shared" si="1"/>
        <v>84.125</v>
      </c>
    </row>
    <row r="22" spans="1:30" x14ac:dyDescent="0.3">
      <c r="A22" s="7">
        <v>15</v>
      </c>
      <c r="B22" s="22" t="s">
        <v>33</v>
      </c>
      <c r="C22" s="21">
        <v>80</v>
      </c>
      <c r="D22" s="21">
        <v>91</v>
      </c>
      <c r="E22" s="21">
        <v>84</v>
      </c>
      <c r="F22" s="43"/>
      <c r="G22" s="23"/>
      <c r="H22" s="21"/>
      <c r="I22" s="23"/>
      <c r="J22" s="23"/>
      <c r="K22" s="23"/>
      <c r="L22" s="21">
        <v>84</v>
      </c>
      <c r="M22" s="21">
        <v>84</v>
      </c>
      <c r="N22" s="23"/>
      <c r="O22" s="21">
        <v>81</v>
      </c>
      <c r="P22" s="21">
        <v>81</v>
      </c>
      <c r="Q22" s="23"/>
      <c r="R22" s="23"/>
      <c r="S22" s="23"/>
      <c r="T22" s="23"/>
      <c r="U22" s="21"/>
      <c r="V22" s="21"/>
      <c r="W22" s="21"/>
      <c r="X22" s="21"/>
      <c r="Y22" s="23"/>
      <c r="Z22" s="21">
        <v>80</v>
      </c>
      <c r="AA22" s="21">
        <v>87</v>
      </c>
      <c r="AB22" s="32">
        <f t="shared" si="0"/>
        <v>752</v>
      </c>
      <c r="AC22" s="18"/>
      <c r="AD22" s="13">
        <f t="shared" si="1"/>
        <v>83.555555555555557</v>
      </c>
    </row>
    <row r="23" spans="1:30" x14ac:dyDescent="0.3">
      <c r="A23" s="7">
        <v>16</v>
      </c>
      <c r="B23" s="22" t="s">
        <v>14</v>
      </c>
      <c r="C23" s="21">
        <v>94</v>
      </c>
      <c r="D23" s="21">
        <v>92</v>
      </c>
      <c r="E23" s="21"/>
      <c r="F23" s="21">
        <v>77</v>
      </c>
      <c r="G23" s="14"/>
      <c r="H23" s="22"/>
      <c r="I23" s="14"/>
      <c r="J23" s="14"/>
      <c r="K23" s="14"/>
      <c r="L23" s="21">
        <v>85</v>
      </c>
      <c r="M23" s="21">
        <v>84</v>
      </c>
      <c r="N23" s="14"/>
      <c r="O23" s="21"/>
      <c r="P23" s="21">
        <v>80</v>
      </c>
      <c r="Q23" s="21">
        <v>75</v>
      </c>
      <c r="R23" s="14"/>
      <c r="S23" s="14"/>
      <c r="T23" s="14"/>
      <c r="U23" s="21">
        <v>80</v>
      </c>
      <c r="V23" s="14"/>
      <c r="W23" s="14"/>
      <c r="X23" s="21"/>
      <c r="Y23" s="14"/>
      <c r="Z23" s="21">
        <v>83</v>
      </c>
      <c r="AA23" s="21"/>
      <c r="AB23" s="32">
        <f t="shared" si="0"/>
        <v>750</v>
      </c>
      <c r="AC23" s="18"/>
      <c r="AD23" s="13">
        <f t="shared" si="1"/>
        <v>83.333333333333329</v>
      </c>
    </row>
    <row r="24" spans="1:30" x14ac:dyDescent="0.3">
      <c r="A24" s="7">
        <v>17</v>
      </c>
      <c r="B24" s="22" t="s">
        <v>16</v>
      </c>
      <c r="C24" s="21">
        <v>90</v>
      </c>
      <c r="D24" s="21">
        <v>99</v>
      </c>
      <c r="E24" s="22"/>
      <c r="F24" s="21">
        <v>80</v>
      </c>
      <c r="G24" s="23"/>
      <c r="H24" s="22"/>
      <c r="I24" s="14"/>
      <c r="J24" s="14"/>
      <c r="K24" s="23"/>
      <c r="L24" s="21">
        <v>84</v>
      </c>
      <c r="M24" s="21">
        <v>85</v>
      </c>
      <c r="N24" s="23"/>
      <c r="O24" s="14"/>
      <c r="P24" s="21">
        <v>69</v>
      </c>
      <c r="Q24" s="21">
        <v>80</v>
      </c>
      <c r="R24" s="23"/>
      <c r="S24" s="22"/>
      <c r="T24" s="23"/>
      <c r="U24" s="21">
        <v>74</v>
      </c>
      <c r="V24" s="14"/>
      <c r="W24" s="14"/>
      <c r="X24" s="14"/>
      <c r="Y24" s="14"/>
      <c r="Z24" s="21">
        <v>84</v>
      </c>
      <c r="AA24" s="22"/>
      <c r="AB24" s="32">
        <f t="shared" si="0"/>
        <v>745</v>
      </c>
      <c r="AC24" s="18"/>
      <c r="AD24" s="13">
        <f t="shared" si="1"/>
        <v>82.777777777777771</v>
      </c>
    </row>
    <row r="25" spans="1:30" x14ac:dyDescent="0.3">
      <c r="A25" s="7">
        <v>18</v>
      </c>
      <c r="B25" s="22" t="s">
        <v>52</v>
      </c>
      <c r="C25" s="21">
        <v>81</v>
      </c>
      <c r="D25" s="21">
        <v>92</v>
      </c>
      <c r="E25" s="21">
        <v>90</v>
      </c>
      <c r="F25" s="43"/>
      <c r="G25" s="23"/>
      <c r="H25" s="23"/>
      <c r="I25" s="21"/>
      <c r="J25" s="23"/>
      <c r="K25" s="21"/>
      <c r="L25" s="21">
        <v>85</v>
      </c>
      <c r="M25" s="21">
        <v>80</v>
      </c>
      <c r="N25" s="21"/>
      <c r="O25" s="23"/>
      <c r="P25" s="23"/>
      <c r="Q25" s="23"/>
      <c r="R25" s="23"/>
      <c r="S25" s="23"/>
      <c r="T25" s="23"/>
      <c r="U25" s="21">
        <v>77</v>
      </c>
      <c r="V25" s="23"/>
      <c r="W25" s="21"/>
      <c r="X25" s="21">
        <v>82</v>
      </c>
      <c r="Y25" s="23"/>
      <c r="Z25" s="21">
        <v>74</v>
      </c>
      <c r="AA25" s="21"/>
      <c r="AB25" s="32">
        <f t="shared" si="0"/>
        <v>661</v>
      </c>
      <c r="AC25" s="18"/>
      <c r="AD25" s="13">
        <f t="shared" si="1"/>
        <v>82.625</v>
      </c>
    </row>
    <row r="26" spans="1:30" x14ac:dyDescent="0.3">
      <c r="A26" s="7">
        <v>19</v>
      </c>
      <c r="B26" s="22" t="s">
        <v>129</v>
      </c>
      <c r="C26" s="21">
        <v>74</v>
      </c>
      <c r="D26" s="21">
        <v>92</v>
      </c>
      <c r="E26" s="21">
        <v>89</v>
      </c>
      <c r="F26" s="43"/>
      <c r="G26" s="23"/>
      <c r="H26" s="21">
        <v>84</v>
      </c>
      <c r="I26" s="23"/>
      <c r="J26" s="21"/>
      <c r="K26" s="23"/>
      <c r="L26" s="21">
        <v>80</v>
      </c>
      <c r="M26" s="21">
        <v>81</v>
      </c>
      <c r="N26" s="21"/>
      <c r="O26" s="23"/>
      <c r="P26" s="23"/>
      <c r="Q26" s="23"/>
      <c r="R26" s="23"/>
      <c r="S26" s="21"/>
      <c r="T26" s="21"/>
      <c r="U26" s="23"/>
      <c r="V26" s="21">
        <v>85</v>
      </c>
      <c r="W26" s="23"/>
      <c r="X26" s="23"/>
      <c r="Y26" s="21"/>
      <c r="Z26" s="21">
        <v>75</v>
      </c>
      <c r="AA26" s="21"/>
      <c r="AB26" s="32">
        <f t="shared" si="0"/>
        <v>660</v>
      </c>
      <c r="AC26" s="18"/>
      <c r="AD26" s="13">
        <f t="shared" si="1"/>
        <v>82.5</v>
      </c>
    </row>
    <row r="27" spans="1:30" x14ac:dyDescent="0.3">
      <c r="A27" s="7">
        <v>20</v>
      </c>
      <c r="B27" s="22" t="s">
        <v>65</v>
      </c>
      <c r="C27" s="21">
        <v>73</v>
      </c>
      <c r="D27" s="21">
        <v>90</v>
      </c>
      <c r="E27" s="21"/>
      <c r="F27" s="21">
        <v>85</v>
      </c>
      <c r="G27" s="13"/>
      <c r="H27" s="21">
        <v>87</v>
      </c>
      <c r="I27" s="14"/>
      <c r="J27" s="22"/>
      <c r="K27" s="14"/>
      <c r="L27" s="21">
        <v>76</v>
      </c>
      <c r="M27" s="21">
        <v>80</v>
      </c>
      <c r="N27" s="14"/>
      <c r="O27" s="21"/>
      <c r="P27" s="21"/>
      <c r="Q27" s="13"/>
      <c r="R27" s="14"/>
      <c r="S27" s="21"/>
      <c r="T27" s="21"/>
      <c r="U27" s="21">
        <v>83</v>
      </c>
      <c r="V27" s="13"/>
      <c r="W27" s="13"/>
      <c r="X27" s="13"/>
      <c r="Y27" s="13"/>
      <c r="Z27" s="21"/>
      <c r="AA27" s="21">
        <v>85</v>
      </c>
      <c r="AB27" s="32">
        <f t="shared" si="0"/>
        <v>659</v>
      </c>
      <c r="AC27" s="18"/>
      <c r="AD27" s="13">
        <f t="shared" si="1"/>
        <v>82.375</v>
      </c>
    </row>
    <row r="28" spans="1:30" x14ac:dyDescent="0.3">
      <c r="A28" s="7">
        <v>21</v>
      </c>
      <c r="B28" s="22" t="s">
        <v>15</v>
      </c>
      <c r="C28" s="21">
        <v>85</v>
      </c>
      <c r="D28" s="21">
        <v>94</v>
      </c>
      <c r="E28" s="21"/>
      <c r="F28" s="21">
        <v>75</v>
      </c>
      <c r="G28" s="13"/>
      <c r="H28" s="22"/>
      <c r="I28" s="14"/>
      <c r="J28" s="22"/>
      <c r="K28" s="14"/>
      <c r="L28" s="21">
        <v>83</v>
      </c>
      <c r="M28" s="21">
        <v>82</v>
      </c>
      <c r="N28" s="14"/>
      <c r="O28" s="21"/>
      <c r="P28" s="21">
        <v>80</v>
      </c>
      <c r="Q28" s="21">
        <v>77</v>
      </c>
      <c r="R28" s="14"/>
      <c r="S28" s="13"/>
      <c r="T28" s="13"/>
      <c r="U28" s="21">
        <v>78</v>
      </c>
      <c r="V28" s="22"/>
      <c r="W28" s="22"/>
      <c r="X28" s="22"/>
      <c r="Y28" s="22"/>
      <c r="Z28" s="21">
        <v>82</v>
      </c>
      <c r="AA28" s="21"/>
      <c r="AB28" s="32">
        <f t="shared" si="0"/>
        <v>736</v>
      </c>
      <c r="AC28" s="18"/>
      <c r="AD28" s="13">
        <f t="shared" si="1"/>
        <v>81.777777777777771</v>
      </c>
    </row>
    <row r="29" spans="1:30" x14ac:dyDescent="0.3">
      <c r="A29" s="7">
        <v>22</v>
      </c>
      <c r="B29" s="22" t="s">
        <v>157</v>
      </c>
      <c r="C29" s="21">
        <v>62</v>
      </c>
      <c r="D29" s="21">
        <v>88</v>
      </c>
      <c r="E29" s="23"/>
      <c r="F29" s="43"/>
      <c r="G29" s="21"/>
      <c r="H29" s="21"/>
      <c r="I29" s="21">
        <v>89</v>
      </c>
      <c r="J29" s="23"/>
      <c r="K29" s="21">
        <v>91</v>
      </c>
      <c r="L29" s="21">
        <v>71</v>
      </c>
      <c r="M29" s="23"/>
      <c r="N29" s="21">
        <v>86</v>
      </c>
      <c r="O29" s="23"/>
      <c r="P29" s="23"/>
      <c r="Q29" s="23"/>
      <c r="R29" s="21"/>
      <c r="S29" s="23"/>
      <c r="T29" s="23"/>
      <c r="U29" s="23"/>
      <c r="V29" s="23"/>
      <c r="W29" s="21">
        <v>85</v>
      </c>
      <c r="X29" s="23"/>
      <c r="Y29" s="23"/>
      <c r="Z29" s="23"/>
      <c r="AA29" s="21">
        <v>77</v>
      </c>
      <c r="AB29" s="32">
        <f t="shared" si="0"/>
        <v>649</v>
      </c>
      <c r="AC29" s="18"/>
      <c r="AD29" s="13">
        <f t="shared" si="1"/>
        <v>81.125</v>
      </c>
    </row>
    <row r="30" spans="1:30" x14ac:dyDescent="0.3">
      <c r="A30" s="7">
        <v>23</v>
      </c>
      <c r="B30" s="22" t="s">
        <v>153</v>
      </c>
      <c r="C30" s="21">
        <v>70</v>
      </c>
      <c r="D30" s="21">
        <v>86</v>
      </c>
      <c r="E30" s="23"/>
      <c r="F30" s="43"/>
      <c r="G30" s="23"/>
      <c r="H30" s="23"/>
      <c r="I30" s="21">
        <v>90</v>
      </c>
      <c r="J30" s="21"/>
      <c r="K30" s="21">
        <v>88</v>
      </c>
      <c r="L30" s="21">
        <v>72</v>
      </c>
      <c r="M30" s="23"/>
      <c r="N30" s="21">
        <v>89</v>
      </c>
      <c r="O30" s="23"/>
      <c r="P30" s="23"/>
      <c r="Q30" s="23"/>
      <c r="R30" s="23"/>
      <c r="S30" s="23"/>
      <c r="T30" s="23"/>
      <c r="U30" s="23"/>
      <c r="V30" s="23"/>
      <c r="W30" s="21">
        <v>81</v>
      </c>
      <c r="X30" s="23"/>
      <c r="Y30" s="21"/>
      <c r="Z30" s="23"/>
      <c r="AA30" s="21">
        <v>73</v>
      </c>
      <c r="AB30" s="32">
        <f t="shared" si="0"/>
        <v>649</v>
      </c>
      <c r="AC30" s="18"/>
      <c r="AD30" s="13">
        <f t="shared" si="1"/>
        <v>81.125</v>
      </c>
    </row>
    <row r="31" spans="1:30" x14ac:dyDescent="0.3">
      <c r="A31" s="7">
        <v>24</v>
      </c>
      <c r="B31" s="22" t="s">
        <v>54</v>
      </c>
      <c r="C31" s="21">
        <v>74</v>
      </c>
      <c r="D31" s="21">
        <v>92</v>
      </c>
      <c r="E31" s="21">
        <v>89</v>
      </c>
      <c r="F31" s="43"/>
      <c r="G31" s="21"/>
      <c r="H31" s="21"/>
      <c r="I31" s="14"/>
      <c r="J31" s="14"/>
      <c r="K31" s="22"/>
      <c r="L31" s="21">
        <v>77</v>
      </c>
      <c r="M31" s="21">
        <v>81</v>
      </c>
      <c r="N31" s="21"/>
      <c r="O31" s="21"/>
      <c r="P31" s="21"/>
      <c r="Q31" s="23"/>
      <c r="R31" s="21"/>
      <c r="S31" s="14"/>
      <c r="T31" s="23"/>
      <c r="U31" s="21">
        <v>76</v>
      </c>
      <c r="V31" s="14"/>
      <c r="W31" s="14"/>
      <c r="X31" s="21">
        <v>83</v>
      </c>
      <c r="Y31" s="14"/>
      <c r="Z31" s="21">
        <v>75</v>
      </c>
      <c r="AA31" s="21"/>
      <c r="AB31" s="32">
        <f t="shared" si="0"/>
        <v>647</v>
      </c>
      <c r="AC31" s="18"/>
      <c r="AD31" s="13">
        <f t="shared" si="1"/>
        <v>80.875</v>
      </c>
    </row>
    <row r="32" spans="1:30" x14ac:dyDescent="0.3">
      <c r="A32" s="7">
        <v>25</v>
      </c>
      <c r="B32" s="22" t="s">
        <v>146</v>
      </c>
      <c r="C32" s="21">
        <v>55</v>
      </c>
      <c r="D32" s="21">
        <v>82</v>
      </c>
      <c r="E32" s="14"/>
      <c r="F32" s="43"/>
      <c r="G32" s="21"/>
      <c r="H32" s="21"/>
      <c r="I32" s="21">
        <v>91</v>
      </c>
      <c r="J32" s="14"/>
      <c r="K32" s="21">
        <v>84</v>
      </c>
      <c r="L32" s="21">
        <v>82</v>
      </c>
      <c r="M32" s="23"/>
      <c r="N32" s="21">
        <v>90</v>
      </c>
      <c r="O32" s="14"/>
      <c r="P32" s="23"/>
      <c r="Q32" s="14"/>
      <c r="R32" s="21"/>
      <c r="S32" s="22"/>
      <c r="T32" s="23"/>
      <c r="U32" s="23"/>
      <c r="V32" s="14"/>
      <c r="W32" s="21">
        <v>87</v>
      </c>
      <c r="X32" s="14"/>
      <c r="Y32" s="14"/>
      <c r="Z32" s="14"/>
      <c r="AA32" s="21">
        <v>75</v>
      </c>
      <c r="AB32" s="32">
        <f t="shared" si="0"/>
        <v>646</v>
      </c>
      <c r="AC32" s="18"/>
      <c r="AD32" s="13">
        <f t="shared" si="1"/>
        <v>80.75</v>
      </c>
    </row>
    <row r="33" spans="1:30" x14ac:dyDescent="0.3">
      <c r="A33" s="7">
        <v>26</v>
      </c>
      <c r="B33" s="22" t="s">
        <v>143</v>
      </c>
      <c r="C33" s="21">
        <v>69</v>
      </c>
      <c r="D33" s="21">
        <v>89</v>
      </c>
      <c r="E33" s="14"/>
      <c r="F33" s="44"/>
      <c r="G33" s="21"/>
      <c r="H33" s="21"/>
      <c r="I33" s="21">
        <v>58</v>
      </c>
      <c r="J33" s="14"/>
      <c r="K33" s="21">
        <v>86</v>
      </c>
      <c r="L33" s="21">
        <v>80</v>
      </c>
      <c r="M33" s="13"/>
      <c r="N33" s="21">
        <v>92</v>
      </c>
      <c r="O33" s="14"/>
      <c r="P33" s="22"/>
      <c r="Q33" s="14"/>
      <c r="R33" s="21"/>
      <c r="S33" s="13"/>
      <c r="T33" s="22"/>
      <c r="U33" s="22"/>
      <c r="V33" s="14"/>
      <c r="W33" s="21">
        <v>89</v>
      </c>
      <c r="X33" s="14"/>
      <c r="Y33" s="14"/>
      <c r="Z33" s="14"/>
      <c r="AA33" s="21">
        <v>81</v>
      </c>
      <c r="AB33" s="32">
        <f t="shared" si="0"/>
        <v>644</v>
      </c>
      <c r="AC33" s="18"/>
      <c r="AD33" s="13">
        <f t="shared" si="1"/>
        <v>80.5</v>
      </c>
    </row>
    <row r="34" spans="1:30" x14ac:dyDescent="0.3">
      <c r="A34" s="7">
        <v>27</v>
      </c>
      <c r="B34" s="22" t="s">
        <v>55</v>
      </c>
      <c r="C34" s="21">
        <v>71</v>
      </c>
      <c r="D34" s="21">
        <v>90</v>
      </c>
      <c r="E34" s="21">
        <v>82</v>
      </c>
      <c r="F34" s="43"/>
      <c r="G34" s="23"/>
      <c r="H34" s="23"/>
      <c r="I34" s="21"/>
      <c r="J34" s="21"/>
      <c r="K34" s="21"/>
      <c r="L34" s="21">
        <v>81</v>
      </c>
      <c r="M34" s="21">
        <v>84</v>
      </c>
      <c r="N34" s="21"/>
      <c r="O34" s="23"/>
      <c r="P34" s="23"/>
      <c r="Q34" s="23"/>
      <c r="R34" s="23"/>
      <c r="S34" s="23"/>
      <c r="T34" s="23"/>
      <c r="U34" s="21">
        <v>71</v>
      </c>
      <c r="V34" s="23"/>
      <c r="W34" s="21"/>
      <c r="X34" s="21">
        <v>81</v>
      </c>
      <c r="Y34" s="21"/>
      <c r="Z34" s="21">
        <v>81</v>
      </c>
      <c r="AA34" s="21"/>
      <c r="AB34" s="32">
        <f t="shared" si="0"/>
        <v>641</v>
      </c>
      <c r="AC34" s="18"/>
      <c r="AD34" s="13">
        <f t="shared" si="1"/>
        <v>80.125</v>
      </c>
    </row>
    <row r="35" spans="1:30" x14ac:dyDescent="0.3">
      <c r="A35" s="7">
        <v>28</v>
      </c>
      <c r="B35" s="22" t="s">
        <v>53</v>
      </c>
      <c r="C35" s="21">
        <v>81</v>
      </c>
      <c r="D35" s="21">
        <v>90</v>
      </c>
      <c r="E35" s="21">
        <v>84</v>
      </c>
      <c r="F35" s="40"/>
      <c r="G35" s="21"/>
      <c r="H35" s="21"/>
      <c r="I35" s="14"/>
      <c r="J35" s="22"/>
      <c r="K35" s="14"/>
      <c r="L35" s="21">
        <v>81</v>
      </c>
      <c r="M35" s="21">
        <v>77</v>
      </c>
      <c r="N35" s="21"/>
      <c r="O35" s="22"/>
      <c r="P35" s="14"/>
      <c r="Q35" s="22"/>
      <c r="R35" s="21"/>
      <c r="S35" s="14"/>
      <c r="T35" s="14"/>
      <c r="U35" s="21">
        <v>73</v>
      </c>
      <c r="V35" s="21"/>
      <c r="W35" s="22"/>
      <c r="X35" s="21">
        <v>83</v>
      </c>
      <c r="Y35" s="22"/>
      <c r="Z35" s="21">
        <v>71</v>
      </c>
      <c r="AA35" s="21"/>
      <c r="AB35" s="32">
        <f t="shared" si="0"/>
        <v>640</v>
      </c>
      <c r="AC35" s="18"/>
      <c r="AD35" s="13">
        <f t="shared" si="1"/>
        <v>80</v>
      </c>
    </row>
    <row r="36" spans="1:30" x14ac:dyDescent="0.3">
      <c r="A36" s="7">
        <v>29</v>
      </c>
      <c r="B36" s="22" t="s">
        <v>51</v>
      </c>
      <c r="C36" s="21">
        <v>75</v>
      </c>
      <c r="D36" s="21">
        <v>93</v>
      </c>
      <c r="E36" s="21">
        <v>81</v>
      </c>
      <c r="F36" s="40"/>
      <c r="G36" s="22"/>
      <c r="H36" s="21"/>
      <c r="I36" s="14"/>
      <c r="J36" s="14"/>
      <c r="K36" s="22"/>
      <c r="L36" s="21">
        <v>75</v>
      </c>
      <c r="M36" s="21">
        <v>83</v>
      </c>
      <c r="N36" s="14"/>
      <c r="O36" s="14"/>
      <c r="P36" s="22"/>
      <c r="Q36" s="22"/>
      <c r="R36" s="14"/>
      <c r="S36" s="21"/>
      <c r="T36" s="21"/>
      <c r="U36" s="21">
        <v>72</v>
      </c>
      <c r="V36" s="21"/>
      <c r="W36" s="14"/>
      <c r="X36" s="21">
        <v>77</v>
      </c>
      <c r="Y36" s="14"/>
      <c r="Z36" s="21">
        <v>80</v>
      </c>
      <c r="AA36" s="21"/>
      <c r="AB36" s="32">
        <f t="shared" si="0"/>
        <v>636</v>
      </c>
      <c r="AC36" s="18"/>
      <c r="AD36" s="13">
        <f t="shared" si="1"/>
        <v>79.5</v>
      </c>
    </row>
    <row r="37" spans="1:30" x14ac:dyDescent="0.3">
      <c r="A37" s="7">
        <v>30</v>
      </c>
      <c r="B37" s="22" t="s">
        <v>128</v>
      </c>
      <c r="C37" s="21">
        <v>69</v>
      </c>
      <c r="D37" s="21">
        <v>88</v>
      </c>
      <c r="E37" s="21">
        <v>82</v>
      </c>
      <c r="F37" s="44"/>
      <c r="G37" s="21"/>
      <c r="H37" s="21">
        <v>84</v>
      </c>
      <c r="I37" s="14"/>
      <c r="J37" s="21"/>
      <c r="K37" s="22"/>
      <c r="L37" s="21">
        <v>71</v>
      </c>
      <c r="M37" s="21">
        <v>82</v>
      </c>
      <c r="N37" s="21"/>
      <c r="O37" s="14"/>
      <c r="P37" s="22"/>
      <c r="Q37" s="14"/>
      <c r="R37" s="21"/>
      <c r="S37" s="13"/>
      <c r="T37" s="22"/>
      <c r="U37" s="22"/>
      <c r="V37" s="21">
        <v>83</v>
      </c>
      <c r="W37" s="14"/>
      <c r="X37" s="14"/>
      <c r="Y37" s="21"/>
      <c r="Z37" s="21">
        <v>73</v>
      </c>
      <c r="AA37" s="21"/>
      <c r="AB37" s="32">
        <f t="shared" si="0"/>
        <v>632</v>
      </c>
      <c r="AC37" s="18"/>
      <c r="AD37" s="13">
        <f t="shared" si="1"/>
        <v>79</v>
      </c>
    </row>
    <row r="38" spans="1:30" x14ac:dyDescent="0.3">
      <c r="A38" s="7">
        <v>31</v>
      </c>
      <c r="B38" s="22" t="s">
        <v>138</v>
      </c>
      <c r="C38" s="21">
        <v>55</v>
      </c>
      <c r="D38" s="21">
        <v>82</v>
      </c>
      <c r="E38" s="21"/>
      <c r="F38" s="21"/>
      <c r="G38" s="14"/>
      <c r="H38" s="21"/>
      <c r="I38" s="14"/>
      <c r="J38" s="21">
        <v>81</v>
      </c>
      <c r="K38" s="14"/>
      <c r="L38" s="21">
        <v>69</v>
      </c>
      <c r="M38" s="21"/>
      <c r="N38" s="21">
        <v>96</v>
      </c>
      <c r="O38" s="13"/>
      <c r="P38" s="14"/>
      <c r="Q38" s="13"/>
      <c r="R38" s="22"/>
      <c r="S38" s="13"/>
      <c r="T38" s="14"/>
      <c r="U38" s="21"/>
      <c r="V38" s="13"/>
      <c r="W38" s="13"/>
      <c r="X38" s="21"/>
      <c r="Y38" s="21">
        <v>83</v>
      </c>
      <c r="Z38" s="21"/>
      <c r="AA38" s="21">
        <v>81</v>
      </c>
      <c r="AB38" s="32">
        <f t="shared" si="0"/>
        <v>547</v>
      </c>
      <c r="AC38" s="18"/>
      <c r="AD38" s="13">
        <f t="shared" si="1"/>
        <v>78.142857142857139</v>
      </c>
    </row>
    <row r="39" spans="1:30" x14ac:dyDescent="0.3">
      <c r="A39" s="7">
        <v>32</v>
      </c>
      <c r="B39" s="22" t="s">
        <v>136</v>
      </c>
      <c r="C39" s="21">
        <v>42</v>
      </c>
      <c r="D39" s="21">
        <v>89</v>
      </c>
      <c r="E39" s="23"/>
      <c r="F39" s="43"/>
      <c r="G39" s="21"/>
      <c r="H39" s="21"/>
      <c r="I39" s="21"/>
      <c r="J39" s="21">
        <v>83</v>
      </c>
      <c r="K39" s="21"/>
      <c r="L39" s="21">
        <v>72</v>
      </c>
      <c r="M39" s="23"/>
      <c r="N39" s="21">
        <v>88</v>
      </c>
      <c r="O39" s="23"/>
      <c r="P39" s="23"/>
      <c r="Q39" s="23"/>
      <c r="R39" s="21"/>
      <c r="S39" s="23"/>
      <c r="T39" s="23"/>
      <c r="U39" s="23"/>
      <c r="V39" s="23"/>
      <c r="W39" s="21"/>
      <c r="X39" s="23"/>
      <c r="Y39" s="21">
        <v>85</v>
      </c>
      <c r="Z39" s="23"/>
      <c r="AA39" s="21">
        <v>86</v>
      </c>
      <c r="AB39" s="32">
        <f t="shared" si="0"/>
        <v>545</v>
      </c>
      <c r="AC39" s="18"/>
      <c r="AD39" s="13">
        <f t="shared" si="1"/>
        <v>77.857142857142861</v>
      </c>
    </row>
    <row r="40" spans="1:30" x14ac:dyDescent="0.3">
      <c r="A40" s="7">
        <v>33</v>
      </c>
      <c r="B40" s="22" t="s">
        <v>127</v>
      </c>
      <c r="C40" s="21">
        <v>60</v>
      </c>
      <c r="D40" s="21">
        <v>89</v>
      </c>
      <c r="E40" s="21">
        <v>81</v>
      </c>
      <c r="F40" s="43"/>
      <c r="G40" s="21"/>
      <c r="H40" s="21">
        <v>85</v>
      </c>
      <c r="I40" s="14"/>
      <c r="J40" s="14"/>
      <c r="K40" s="23"/>
      <c r="L40" s="21">
        <v>69</v>
      </c>
      <c r="M40" s="21">
        <v>82</v>
      </c>
      <c r="N40" s="21"/>
      <c r="O40" s="14"/>
      <c r="P40" s="23"/>
      <c r="Q40" s="22"/>
      <c r="R40" s="21"/>
      <c r="S40" s="22"/>
      <c r="T40" s="23"/>
      <c r="U40" s="21"/>
      <c r="V40" s="21">
        <v>81</v>
      </c>
      <c r="W40" s="14"/>
      <c r="X40" s="14"/>
      <c r="Y40" s="14"/>
      <c r="Z40" s="21">
        <v>71</v>
      </c>
      <c r="AA40" s="21"/>
      <c r="AB40" s="32">
        <f t="shared" ref="AB40:AB71" si="2">SUM(C40:AA40)</f>
        <v>618</v>
      </c>
      <c r="AC40" s="18"/>
      <c r="AD40" s="13">
        <f t="shared" ref="AD40:AD71" si="3">AVERAGE(C40:AA40)</f>
        <v>77.25</v>
      </c>
    </row>
    <row r="41" spans="1:30" x14ac:dyDescent="0.3">
      <c r="A41" s="7">
        <v>34</v>
      </c>
      <c r="B41" s="22" t="s">
        <v>130</v>
      </c>
      <c r="C41" s="21">
        <v>62</v>
      </c>
      <c r="D41" s="21">
        <v>82</v>
      </c>
      <c r="E41" s="21">
        <v>75</v>
      </c>
      <c r="F41" s="43"/>
      <c r="G41" s="21"/>
      <c r="H41" s="21">
        <v>81</v>
      </c>
      <c r="I41" s="14"/>
      <c r="J41" s="14"/>
      <c r="K41" s="22"/>
      <c r="L41" s="21">
        <v>83</v>
      </c>
      <c r="M41" s="21">
        <v>81</v>
      </c>
      <c r="N41" s="21"/>
      <c r="O41" s="23"/>
      <c r="P41" s="22"/>
      <c r="Q41" s="23"/>
      <c r="R41" s="21"/>
      <c r="S41" s="14"/>
      <c r="T41" s="23"/>
      <c r="U41" s="23"/>
      <c r="V41" s="21">
        <v>78</v>
      </c>
      <c r="W41" s="14"/>
      <c r="X41" s="14"/>
      <c r="Y41" s="14"/>
      <c r="Z41" s="21">
        <v>69</v>
      </c>
      <c r="AA41" s="21"/>
      <c r="AB41" s="32">
        <f t="shared" si="2"/>
        <v>611</v>
      </c>
      <c r="AC41" s="18"/>
      <c r="AD41" s="13">
        <f t="shared" si="3"/>
        <v>76.375</v>
      </c>
    </row>
    <row r="42" spans="1:30" x14ac:dyDescent="0.3">
      <c r="A42" s="7">
        <v>35</v>
      </c>
      <c r="B42" s="22" t="s">
        <v>18</v>
      </c>
      <c r="C42" s="21">
        <v>82</v>
      </c>
      <c r="D42" s="21">
        <v>85</v>
      </c>
      <c r="E42" s="21"/>
      <c r="F42" s="21">
        <v>71</v>
      </c>
      <c r="G42" s="23"/>
      <c r="H42" s="21"/>
      <c r="I42" s="23"/>
      <c r="J42" s="23"/>
      <c r="K42" s="23"/>
      <c r="L42" s="21">
        <v>80</v>
      </c>
      <c r="M42" s="21">
        <v>80</v>
      </c>
      <c r="N42" s="23"/>
      <c r="O42" s="21"/>
      <c r="P42" s="21">
        <v>71</v>
      </c>
      <c r="Q42" s="21">
        <v>62</v>
      </c>
      <c r="R42" s="23"/>
      <c r="S42" s="23"/>
      <c r="T42" s="23"/>
      <c r="U42" s="21">
        <v>69</v>
      </c>
      <c r="V42" s="21"/>
      <c r="W42" s="21"/>
      <c r="X42" s="23"/>
      <c r="Y42" s="23"/>
      <c r="Z42" s="21">
        <v>71</v>
      </c>
      <c r="AA42" s="21"/>
      <c r="AB42" s="32">
        <f t="shared" si="2"/>
        <v>671</v>
      </c>
      <c r="AC42" s="18"/>
      <c r="AD42" s="13">
        <f t="shared" si="3"/>
        <v>74.555555555555557</v>
      </c>
    </row>
    <row r="43" spans="1:30" x14ac:dyDescent="0.3">
      <c r="A43" s="7">
        <v>36</v>
      </c>
      <c r="B43" s="22" t="s">
        <v>83</v>
      </c>
      <c r="C43" s="21">
        <v>71</v>
      </c>
      <c r="D43" s="21">
        <v>92</v>
      </c>
      <c r="E43" s="21"/>
      <c r="F43" s="43"/>
      <c r="G43" s="21">
        <v>82</v>
      </c>
      <c r="H43" s="21">
        <v>74</v>
      </c>
      <c r="I43" s="23"/>
      <c r="J43" s="23"/>
      <c r="K43" s="23"/>
      <c r="L43" s="21">
        <v>58</v>
      </c>
      <c r="M43" s="21"/>
      <c r="N43" s="21">
        <v>80</v>
      </c>
      <c r="O43" s="23"/>
      <c r="P43" s="23"/>
      <c r="Q43" s="23"/>
      <c r="R43" s="21">
        <v>66</v>
      </c>
      <c r="S43" s="23"/>
      <c r="T43" s="23"/>
      <c r="U43" s="21"/>
      <c r="V43" s="21"/>
      <c r="W43" s="21"/>
      <c r="X43" s="21"/>
      <c r="Y43" s="23"/>
      <c r="Z43" s="21"/>
      <c r="AA43" s="21">
        <v>71</v>
      </c>
      <c r="AB43" s="32">
        <f t="shared" si="2"/>
        <v>594</v>
      </c>
      <c r="AC43" s="18"/>
      <c r="AD43" s="13">
        <f t="shared" si="3"/>
        <v>74.25</v>
      </c>
    </row>
    <row r="44" spans="1:30" x14ac:dyDescent="0.3">
      <c r="A44" s="7">
        <v>37</v>
      </c>
      <c r="B44" s="22" t="s">
        <v>17</v>
      </c>
      <c r="C44" s="21">
        <v>83</v>
      </c>
      <c r="D44" s="21">
        <v>89</v>
      </c>
      <c r="E44" s="21"/>
      <c r="F44" s="21">
        <v>52</v>
      </c>
      <c r="G44" s="14"/>
      <c r="H44" s="14"/>
      <c r="I44" s="14"/>
      <c r="J44" s="14"/>
      <c r="K44" s="14"/>
      <c r="L44" s="21">
        <v>77</v>
      </c>
      <c r="M44" s="21">
        <v>81</v>
      </c>
      <c r="N44" s="14"/>
      <c r="O44" s="21"/>
      <c r="P44" s="21">
        <v>75</v>
      </c>
      <c r="Q44" s="21">
        <v>65</v>
      </c>
      <c r="R44" s="14"/>
      <c r="S44" s="14"/>
      <c r="T44" s="14"/>
      <c r="U44" s="21">
        <v>69</v>
      </c>
      <c r="V44" s="14"/>
      <c r="W44" s="14"/>
      <c r="X44" s="21"/>
      <c r="Y44" s="14"/>
      <c r="Z44" s="21">
        <v>77</v>
      </c>
      <c r="AA44" s="21"/>
      <c r="AB44" s="32">
        <f t="shared" si="2"/>
        <v>668</v>
      </c>
      <c r="AC44" s="18"/>
      <c r="AD44" s="13">
        <f t="shared" si="3"/>
        <v>74.222222222222229</v>
      </c>
    </row>
    <row r="45" spans="1:30" x14ac:dyDescent="0.3">
      <c r="A45" s="7">
        <v>38</v>
      </c>
      <c r="B45" s="22" t="s">
        <v>101</v>
      </c>
      <c r="C45" s="21">
        <v>38</v>
      </c>
      <c r="D45" s="21">
        <v>86</v>
      </c>
      <c r="E45" s="22"/>
      <c r="F45" s="21"/>
      <c r="G45" s="21">
        <v>66</v>
      </c>
      <c r="H45" s="21">
        <v>82</v>
      </c>
      <c r="I45" s="14"/>
      <c r="J45" s="14"/>
      <c r="K45" s="22"/>
      <c r="L45" s="21">
        <v>69</v>
      </c>
      <c r="M45" s="21"/>
      <c r="N45" s="21">
        <v>80</v>
      </c>
      <c r="O45" s="23"/>
      <c r="P45" s="23"/>
      <c r="Q45" s="23"/>
      <c r="R45" s="21">
        <v>70</v>
      </c>
      <c r="S45" s="14"/>
      <c r="T45" s="23"/>
      <c r="U45" s="21"/>
      <c r="V45" s="22"/>
      <c r="W45" s="22"/>
      <c r="X45" s="22"/>
      <c r="Y45" s="22"/>
      <c r="Z45" s="22"/>
      <c r="AA45" s="21">
        <v>79</v>
      </c>
      <c r="AB45" s="32">
        <f t="shared" si="2"/>
        <v>570</v>
      </c>
      <c r="AC45" s="18"/>
      <c r="AD45" s="13">
        <f t="shared" si="3"/>
        <v>71.25</v>
      </c>
    </row>
    <row r="46" spans="1:30" x14ac:dyDescent="0.3">
      <c r="A46" s="7">
        <v>39</v>
      </c>
      <c r="B46" s="22" t="s">
        <v>88</v>
      </c>
      <c r="C46" s="21">
        <v>80</v>
      </c>
      <c r="D46" s="21">
        <v>89</v>
      </c>
      <c r="E46" s="23"/>
      <c r="F46" s="43"/>
      <c r="G46" s="21">
        <v>62</v>
      </c>
      <c r="H46" s="21">
        <v>71</v>
      </c>
      <c r="I46" s="21"/>
      <c r="J46" s="21"/>
      <c r="K46" s="21"/>
      <c r="L46" s="21">
        <v>69</v>
      </c>
      <c r="M46" s="23"/>
      <c r="N46" s="21">
        <v>71</v>
      </c>
      <c r="O46" s="23"/>
      <c r="P46" s="23"/>
      <c r="Q46" s="23"/>
      <c r="R46" s="21">
        <v>55</v>
      </c>
      <c r="S46" s="23"/>
      <c r="T46" s="23"/>
      <c r="U46" s="23"/>
      <c r="V46" s="23"/>
      <c r="W46" s="21"/>
      <c r="X46" s="23"/>
      <c r="Y46" s="21"/>
      <c r="Z46" s="23"/>
      <c r="AA46" s="21">
        <v>62</v>
      </c>
      <c r="AB46" s="32">
        <f t="shared" si="2"/>
        <v>559</v>
      </c>
      <c r="AC46" s="18"/>
      <c r="AD46" s="13">
        <f t="shared" si="3"/>
        <v>69.875</v>
      </c>
    </row>
    <row r="47" spans="1:30" x14ac:dyDescent="0.3">
      <c r="A47" s="7">
        <v>40</v>
      </c>
      <c r="B47" s="22" t="s">
        <v>43</v>
      </c>
      <c r="C47" s="21">
        <v>73</v>
      </c>
      <c r="D47" s="21">
        <v>95</v>
      </c>
      <c r="E47" s="21">
        <v>60</v>
      </c>
      <c r="F47" s="40"/>
      <c r="G47" s="23"/>
      <c r="H47" s="23"/>
      <c r="I47" s="14"/>
      <c r="J47" s="14"/>
      <c r="K47" s="23"/>
      <c r="L47" s="21">
        <v>69</v>
      </c>
      <c r="M47" s="21">
        <v>62</v>
      </c>
      <c r="N47" s="23"/>
      <c r="O47" s="21">
        <v>77</v>
      </c>
      <c r="P47" s="21">
        <v>62</v>
      </c>
      <c r="Q47" s="21"/>
      <c r="R47" s="23"/>
      <c r="S47" s="22"/>
      <c r="T47" s="23"/>
      <c r="U47" s="21"/>
      <c r="V47" s="14"/>
      <c r="W47" s="14"/>
      <c r="X47" s="14"/>
      <c r="Y47" s="14"/>
      <c r="Z47" s="21">
        <v>47</v>
      </c>
      <c r="AA47" s="21">
        <v>81</v>
      </c>
      <c r="AB47" s="32">
        <f t="shared" si="2"/>
        <v>626</v>
      </c>
      <c r="AC47" s="18"/>
      <c r="AD47" s="13">
        <f t="shared" si="3"/>
        <v>69.555555555555557</v>
      </c>
    </row>
    <row r="48" spans="1:30" x14ac:dyDescent="0.3">
      <c r="A48" s="7">
        <v>41</v>
      </c>
      <c r="B48" s="22" t="s">
        <v>87</v>
      </c>
      <c r="C48" s="21">
        <v>65</v>
      </c>
      <c r="D48" s="21">
        <v>90</v>
      </c>
      <c r="E48" s="14"/>
      <c r="F48" s="42"/>
      <c r="G48" s="21">
        <v>65</v>
      </c>
      <c r="H48" s="21">
        <v>66</v>
      </c>
      <c r="I48" s="14"/>
      <c r="J48" s="14"/>
      <c r="K48" s="22"/>
      <c r="L48" s="21">
        <v>55</v>
      </c>
      <c r="M48" s="21"/>
      <c r="N48" s="21">
        <v>66</v>
      </c>
      <c r="O48" s="13"/>
      <c r="P48" s="13"/>
      <c r="Q48" s="13"/>
      <c r="R48" s="21">
        <v>80</v>
      </c>
      <c r="S48" s="21"/>
      <c r="T48" s="21"/>
      <c r="U48" s="13"/>
      <c r="V48" s="14"/>
      <c r="W48" s="14"/>
      <c r="X48" s="14"/>
      <c r="Y48" s="14"/>
      <c r="Z48" s="14"/>
      <c r="AA48" s="21">
        <v>69</v>
      </c>
      <c r="AB48" s="32">
        <f t="shared" si="2"/>
        <v>556</v>
      </c>
      <c r="AC48" s="18"/>
      <c r="AD48" s="13">
        <f t="shared" si="3"/>
        <v>69.5</v>
      </c>
    </row>
    <row r="49" spans="1:30" x14ac:dyDescent="0.3">
      <c r="A49" s="7">
        <v>42</v>
      </c>
      <c r="B49" s="22" t="s">
        <v>37</v>
      </c>
      <c r="C49" s="21">
        <v>71</v>
      </c>
      <c r="D49" s="21">
        <v>74</v>
      </c>
      <c r="E49" s="21">
        <v>65</v>
      </c>
      <c r="F49" s="40"/>
      <c r="G49" s="21"/>
      <c r="H49" s="21"/>
      <c r="I49" s="14"/>
      <c r="J49" s="14"/>
      <c r="K49" s="22"/>
      <c r="L49" s="21">
        <v>65</v>
      </c>
      <c r="M49" s="21">
        <v>68</v>
      </c>
      <c r="N49" s="21"/>
      <c r="O49" s="21">
        <v>62</v>
      </c>
      <c r="P49" s="21">
        <v>65</v>
      </c>
      <c r="Q49" s="13"/>
      <c r="R49" s="21"/>
      <c r="S49" s="22"/>
      <c r="T49" s="13"/>
      <c r="U49" s="21"/>
      <c r="V49" s="14"/>
      <c r="W49" s="14"/>
      <c r="X49" s="21"/>
      <c r="Y49" s="14"/>
      <c r="Z49" s="21">
        <v>65</v>
      </c>
      <c r="AA49" s="21">
        <v>77</v>
      </c>
      <c r="AB49" s="32">
        <f t="shared" si="2"/>
        <v>612</v>
      </c>
      <c r="AC49" s="18"/>
      <c r="AD49" s="13">
        <f t="shared" si="3"/>
        <v>68</v>
      </c>
    </row>
    <row r="50" spans="1:30" x14ac:dyDescent="0.3">
      <c r="A50" s="7">
        <v>43</v>
      </c>
      <c r="B50" s="22" t="s">
        <v>64</v>
      </c>
      <c r="C50" s="21">
        <v>69</v>
      </c>
      <c r="D50" s="21">
        <v>82</v>
      </c>
      <c r="E50" s="21"/>
      <c r="F50" s="21">
        <v>71</v>
      </c>
      <c r="G50" s="21"/>
      <c r="H50" s="21">
        <v>81</v>
      </c>
      <c r="I50" s="14"/>
      <c r="J50" s="14"/>
      <c r="K50" s="14"/>
      <c r="L50" s="21">
        <v>80</v>
      </c>
      <c r="M50" s="21">
        <v>42</v>
      </c>
      <c r="N50" s="21"/>
      <c r="O50" s="14"/>
      <c r="P50" s="16"/>
      <c r="Q50" s="22"/>
      <c r="R50" s="21"/>
      <c r="S50" s="16"/>
      <c r="T50" s="16"/>
      <c r="U50" s="21">
        <v>62</v>
      </c>
      <c r="V50" s="14"/>
      <c r="W50" s="14"/>
      <c r="X50" s="21"/>
      <c r="Y50" s="14"/>
      <c r="Z50" s="21"/>
      <c r="AA50" s="21">
        <v>56</v>
      </c>
      <c r="AB50" s="32">
        <f t="shared" si="2"/>
        <v>543</v>
      </c>
      <c r="AC50" s="18"/>
      <c r="AD50" s="13">
        <f t="shared" si="3"/>
        <v>67.875</v>
      </c>
    </row>
    <row r="51" spans="1:30" x14ac:dyDescent="0.3">
      <c r="A51" s="7">
        <v>44</v>
      </c>
      <c r="B51" s="22" t="s">
        <v>32</v>
      </c>
      <c r="C51" s="21">
        <v>60</v>
      </c>
      <c r="D51" s="21">
        <v>77</v>
      </c>
      <c r="E51" s="21">
        <v>80</v>
      </c>
      <c r="F51" s="43"/>
      <c r="G51" s="14"/>
      <c r="H51" s="22"/>
      <c r="I51" s="14"/>
      <c r="J51" s="22"/>
      <c r="K51" s="14"/>
      <c r="L51" s="21">
        <v>65</v>
      </c>
      <c r="M51" s="21">
        <v>65</v>
      </c>
      <c r="N51" s="13"/>
      <c r="O51" s="21">
        <v>65</v>
      </c>
      <c r="P51" s="21">
        <v>55</v>
      </c>
      <c r="Q51" s="21"/>
      <c r="R51" s="13"/>
      <c r="S51" s="22"/>
      <c r="T51" s="14"/>
      <c r="U51" s="21"/>
      <c r="V51" s="13"/>
      <c r="W51" s="13"/>
      <c r="X51" s="13"/>
      <c r="Y51" s="13"/>
      <c r="Z51" s="21">
        <v>65</v>
      </c>
      <c r="AA51" s="21">
        <v>77</v>
      </c>
      <c r="AB51" s="32">
        <f t="shared" si="2"/>
        <v>609</v>
      </c>
      <c r="AC51" s="18"/>
      <c r="AD51" s="13">
        <f t="shared" si="3"/>
        <v>67.666666666666671</v>
      </c>
    </row>
    <row r="52" spans="1:30" x14ac:dyDescent="0.3">
      <c r="A52" s="7">
        <v>45</v>
      </c>
      <c r="B52" s="22" t="s">
        <v>61</v>
      </c>
      <c r="C52" s="21">
        <v>80</v>
      </c>
      <c r="D52" s="21">
        <v>77</v>
      </c>
      <c r="E52" s="21">
        <v>65</v>
      </c>
      <c r="F52" s="43"/>
      <c r="G52" s="14"/>
      <c r="H52" s="21"/>
      <c r="I52" s="21"/>
      <c r="J52" s="22"/>
      <c r="K52" s="21"/>
      <c r="L52" s="21">
        <v>74</v>
      </c>
      <c r="M52" s="21">
        <v>65</v>
      </c>
      <c r="N52" s="21"/>
      <c r="O52" s="13"/>
      <c r="P52" s="14"/>
      <c r="Q52" s="13"/>
      <c r="R52" s="14"/>
      <c r="S52" s="22"/>
      <c r="T52" s="13"/>
      <c r="U52" s="21">
        <v>55</v>
      </c>
      <c r="V52" s="13"/>
      <c r="W52" s="21"/>
      <c r="X52" s="21">
        <v>69</v>
      </c>
      <c r="Y52" s="13"/>
      <c r="Z52" s="21">
        <v>55</v>
      </c>
      <c r="AA52" s="21"/>
      <c r="AB52" s="32">
        <f t="shared" si="2"/>
        <v>540</v>
      </c>
      <c r="AC52" s="18"/>
      <c r="AD52" s="13">
        <f t="shared" si="3"/>
        <v>67.5</v>
      </c>
    </row>
    <row r="53" spans="1:30" x14ac:dyDescent="0.3">
      <c r="A53" s="7">
        <v>46</v>
      </c>
      <c r="B53" s="22" t="s">
        <v>113</v>
      </c>
      <c r="C53" s="21">
        <v>45</v>
      </c>
      <c r="D53" s="21">
        <v>86</v>
      </c>
      <c r="E53" s="21"/>
      <c r="F53" s="21"/>
      <c r="G53" s="14"/>
      <c r="H53" s="21">
        <v>58</v>
      </c>
      <c r="I53" s="14"/>
      <c r="J53" s="14"/>
      <c r="K53" s="14"/>
      <c r="L53" s="21">
        <v>52</v>
      </c>
      <c r="M53" s="21">
        <v>55</v>
      </c>
      <c r="N53" s="15"/>
      <c r="O53" s="21"/>
      <c r="P53" s="21"/>
      <c r="Q53" s="14"/>
      <c r="R53" s="16"/>
      <c r="S53" s="21">
        <v>84</v>
      </c>
      <c r="T53" s="21">
        <v>77</v>
      </c>
      <c r="U53" s="21"/>
      <c r="V53" s="14"/>
      <c r="W53" s="14"/>
      <c r="X53" s="14"/>
      <c r="Y53" s="14"/>
      <c r="Z53" s="21"/>
      <c r="AA53" s="21">
        <v>77</v>
      </c>
      <c r="AB53" s="32">
        <f t="shared" si="2"/>
        <v>534</v>
      </c>
      <c r="AC53" s="18"/>
      <c r="AD53" s="13">
        <f t="shared" si="3"/>
        <v>66.75</v>
      </c>
    </row>
    <row r="54" spans="1:30" x14ac:dyDescent="0.3">
      <c r="A54" s="7">
        <v>47</v>
      </c>
      <c r="B54" s="22" t="s">
        <v>34</v>
      </c>
      <c r="C54" s="21">
        <v>75</v>
      </c>
      <c r="D54" s="21">
        <v>74</v>
      </c>
      <c r="E54" s="21">
        <v>62</v>
      </c>
      <c r="F54" s="43"/>
      <c r="G54" s="23"/>
      <c r="H54" s="21"/>
      <c r="I54" s="14"/>
      <c r="J54" s="22"/>
      <c r="K54" s="14"/>
      <c r="L54" s="21">
        <v>68</v>
      </c>
      <c r="M54" s="21">
        <v>56</v>
      </c>
      <c r="N54" s="14"/>
      <c r="O54" s="21">
        <v>65</v>
      </c>
      <c r="P54" s="21">
        <v>65</v>
      </c>
      <c r="Q54" s="22"/>
      <c r="R54" s="14"/>
      <c r="S54" s="22"/>
      <c r="T54" s="23"/>
      <c r="U54" s="21"/>
      <c r="V54" s="22"/>
      <c r="W54" s="22"/>
      <c r="X54" s="22"/>
      <c r="Y54" s="22"/>
      <c r="Z54" s="21">
        <v>62</v>
      </c>
      <c r="AA54" s="21">
        <v>71</v>
      </c>
      <c r="AB54" s="32">
        <f t="shared" si="2"/>
        <v>598</v>
      </c>
      <c r="AC54" s="18"/>
      <c r="AD54" s="13">
        <f t="shared" si="3"/>
        <v>66.444444444444443</v>
      </c>
    </row>
    <row r="55" spans="1:30" x14ac:dyDescent="0.3">
      <c r="A55" s="7">
        <v>48</v>
      </c>
      <c r="B55" s="22" t="s">
        <v>57</v>
      </c>
      <c r="C55" s="21">
        <v>57</v>
      </c>
      <c r="D55" s="21">
        <v>77</v>
      </c>
      <c r="E55" s="21">
        <v>74</v>
      </c>
      <c r="F55" s="42"/>
      <c r="G55" s="13"/>
      <c r="H55" s="22"/>
      <c r="I55" s="14"/>
      <c r="J55" s="14"/>
      <c r="K55" s="13"/>
      <c r="L55" s="21">
        <v>65</v>
      </c>
      <c r="M55" s="21">
        <v>65</v>
      </c>
      <c r="N55" s="13"/>
      <c r="O55" s="21"/>
      <c r="P55" s="21"/>
      <c r="Q55" s="13"/>
      <c r="R55" s="13"/>
      <c r="S55" s="14"/>
      <c r="T55" s="13"/>
      <c r="U55" s="21">
        <v>54</v>
      </c>
      <c r="V55" s="14"/>
      <c r="W55" s="14"/>
      <c r="X55" s="21">
        <v>65</v>
      </c>
      <c r="Y55" s="14"/>
      <c r="Z55" s="21">
        <v>65</v>
      </c>
      <c r="AA55" s="21"/>
      <c r="AB55" s="32">
        <f t="shared" si="2"/>
        <v>522</v>
      </c>
      <c r="AC55" s="18"/>
      <c r="AD55" s="13">
        <f t="shared" si="3"/>
        <v>65.25</v>
      </c>
    </row>
    <row r="56" spans="1:30" x14ac:dyDescent="0.3">
      <c r="A56" s="7">
        <v>49</v>
      </c>
      <c r="B56" s="22" t="s">
        <v>148</v>
      </c>
      <c r="C56" s="21">
        <v>38</v>
      </c>
      <c r="D56" s="21">
        <v>82</v>
      </c>
      <c r="E56" s="21"/>
      <c r="F56" s="21"/>
      <c r="G56" s="22"/>
      <c r="H56" s="21"/>
      <c r="I56" s="21">
        <v>85</v>
      </c>
      <c r="J56" s="14"/>
      <c r="K56" s="21">
        <v>69</v>
      </c>
      <c r="L56" s="21">
        <v>58</v>
      </c>
      <c r="M56" s="21"/>
      <c r="N56" s="21">
        <v>69</v>
      </c>
      <c r="O56" s="14"/>
      <c r="P56" s="22"/>
      <c r="Q56" s="23"/>
      <c r="R56" s="22"/>
      <c r="S56" s="22"/>
      <c r="T56" s="23"/>
      <c r="U56" s="21"/>
      <c r="V56" s="14"/>
      <c r="W56" s="21">
        <v>58</v>
      </c>
      <c r="X56" s="21"/>
      <c r="Y56" s="14"/>
      <c r="Z56" s="21"/>
      <c r="AA56" s="21">
        <v>62</v>
      </c>
      <c r="AB56" s="32">
        <f t="shared" si="2"/>
        <v>521</v>
      </c>
      <c r="AC56" s="18"/>
      <c r="AD56" s="13">
        <f t="shared" si="3"/>
        <v>65.125</v>
      </c>
    </row>
    <row r="57" spans="1:30" x14ac:dyDescent="0.3">
      <c r="A57" s="7">
        <v>50</v>
      </c>
      <c r="B57" s="22" t="s">
        <v>41</v>
      </c>
      <c r="C57" s="21">
        <v>55</v>
      </c>
      <c r="D57" s="21">
        <v>81</v>
      </c>
      <c r="E57" s="21">
        <v>71</v>
      </c>
      <c r="F57" s="43"/>
      <c r="G57" s="14"/>
      <c r="H57" s="14"/>
      <c r="I57" s="14"/>
      <c r="J57" s="14"/>
      <c r="K57" s="14"/>
      <c r="L57" s="21">
        <v>58</v>
      </c>
      <c r="M57" s="21">
        <v>58</v>
      </c>
      <c r="N57" s="14"/>
      <c r="O57" s="21">
        <v>62</v>
      </c>
      <c r="P57" s="21">
        <v>52</v>
      </c>
      <c r="Q57" s="21"/>
      <c r="R57" s="14"/>
      <c r="S57" s="14"/>
      <c r="T57" s="14"/>
      <c r="U57" s="21"/>
      <c r="V57" s="14"/>
      <c r="W57" s="14"/>
      <c r="X57" s="14"/>
      <c r="Y57" s="14"/>
      <c r="Z57" s="21">
        <v>72</v>
      </c>
      <c r="AA57" s="21">
        <v>77</v>
      </c>
      <c r="AB57" s="32">
        <f t="shared" si="2"/>
        <v>586</v>
      </c>
      <c r="AC57" s="18"/>
      <c r="AD57" s="13">
        <f t="shared" si="3"/>
        <v>65.111111111111114</v>
      </c>
    </row>
    <row r="58" spans="1:30" x14ac:dyDescent="0.3">
      <c r="A58" s="7">
        <v>51</v>
      </c>
      <c r="B58" s="22" t="s">
        <v>150</v>
      </c>
      <c r="C58" s="21">
        <v>55</v>
      </c>
      <c r="D58" s="21">
        <v>74</v>
      </c>
      <c r="E58" s="14"/>
      <c r="F58" s="42"/>
      <c r="G58" s="21"/>
      <c r="H58" s="21"/>
      <c r="I58" s="21">
        <v>68</v>
      </c>
      <c r="J58" s="14"/>
      <c r="K58" s="21">
        <v>58</v>
      </c>
      <c r="L58" s="21">
        <v>45</v>
      </c>
      <c r="M58" s="21"/>
      <c r="N58" s="21">
        <v>72</v>
      </c>
      <c r="O58" s="14"/>
      <c r="P58" s="16"/>
      <c r="Q58" s="14"/>
      <c r="R58" s="21"/>
      <c r="S58" s="21"/>
      <c r="T58" s="21"/>
      <c r="U58" s="16"/>
      <c r="V58" s="14"/>
      <c r="W58" s="21">
        <v>77</v>
      </c>
      <c r="X58" s="14"/>
      <c r="Y58" s="14"/>
      <c r="Z58" s="14"/>
      <c r="AA58" s="21">
        <v>71</v>
      </c>
      <c r="AB58" s="32">
        <f t="shared" si="2"/>
        <v>520</v>
      </c>
      <c r="AC58" s="18"/>
      <c r="AD58" s="13">
        <f t="shared" si="3"/>
        <v>65</v>
      </c>
    </row>
    <row r="59" spans="1:30" x14ac:dyDescent="0.3">
      <c r="A59" s="7">
        <v>52</v>
      </c>
      <c r="B59" s="22" t="s">
        <v>39</v>
      </c>
      <c r="C59" s="21">
        <v>65</v>
      </c>
      <c r="D59" s="21">
        <v>75</v>
      </c>
      <c r="E59" s="21">
        <v>55</v>
      </c>
      <c r="F59" s="43"/>
      <c r="G59" s="23"/>
      <c r="H59" s="21"/>
      <c r="I59" s="21"/>
      <c r="J59" s="23"/>
      <c r="K59" s="21"/>
      <c r="L59" s="21">
        <v>52</v>
      </c>
      <c r="M59" s="21">
        <v>69</v>
      </c>
      <c r="N59" s="21"/>
      <c r="O59" s="21">
        <v>69</v>
      </c>
      <c r="P59" s="21">
        <v>69</v>
      </c>
      <c r="Q59" s="23"/>
      <c r="R59" s="23"/>
      <c r="S59" s="23"/>
      <c r="T59" s="23"/>
      <c r="U59" s="23"/>
      <c r="V59" s="21"/>
      <c r="W59" s="21"/>
      <c r="X59" s="23"/>
      <c r="Y59" s="23"/>
      <c r="Z59" s="21">
        <v>58</v>
      </c>
      <c r="AA59" s="21">
        <v>69</v>
      </c>
      <c r="AB59" s="32">
        <f t="shared" si="2"/>
        <v>581</v>
      </c>
      <c r="AC59" s="18"/>
      <c r="AD59" s="13">
        <f t="shared" si="3"/>
        <v>64.555555555555557</v>
      </c>
    </row>
    <row r="60" spans="1:30" x14ac:dyDescent="0.3">
      <c r="A60" s="7">
        <v>53</v>
      </c>
      <c r="B60" s="22" t="s">
        <v>40</v>
      </c>
      <c r="C60" s="21">
        <v>71</v>
      </c>
      <c r="D60" s="21">
        <v>92</v>
      </c>
      <c r="E60" s="21">
        <v>52</v>
      </c>
      <c r="F60" s="21"/>
      <c r="G60" s="23"/>
      <c r="H60" s="21"/>
      <c r="I60" s="21"/>
      <c r="J60" s="23"/>
      <c r="K60" s="21"/>
      <c r="L60" s="21">
        <v>70</v>
      </c>
      <c r="M60" s="21">
        <v>52</v>
      </c>
      <c r="N60" s="21"/>
      <c r="O60" s="21">
        <v>62</v>
      </c>
      <c r="P60" s="21">
        <v>54</v>
      </c>
      <c r="Q60" s="23"/>
      <c r="R60" s="23"/>
      <c r="S60" s="23"/>
      <c r="T60" s="23"/>
      <c r="U60" s="21"/>
      <c r="V60" s="23"/>
      <c r="W60" s="21"/>
      <c r="X60" s="23"/>
      <c r="Y60" s="23"/>
      <c r="Z60" s="21">
        <v>55</v>
      </c>
      <c r="AA60" s="21">
        <v>71</v>
      </c>
      <c r="AB60" s="32">
        <f t="shared" si="2"/>
        <v>579</v>
      </c>
      <c r="AC60" s="18"/>
      <c r="AD60" s="13">
        <f t="shared" si="3"/>
        <v>64.333333333333329</v>
      </c>
    </row>
    <row r="61" spans="1:30" x14ac:dyDescent="0.3">
      <c r="A61" s="7">
        <v>54</v>
      </c>
      <c r="B61" s="22" t="s">
        <v>60</v>
      </c>
      <c r="C61" s="21">
        <v>65</v>
      </c>
      <c r="D61" s="21">
        <v>68</v>
      </c>
      <c r="E61" s="21">
        <v>66</v>
      </c>
      <c r="F61" s="43"/>
      <c r="G61" s="22"/>
      <c r="H61" s="21"/>
      <c r="I61" s="14"/>
      <c r="J61" s="14"/>
      <c r="K61" s="22"/>
      <c r="L61" s="21">
        <v>62</v>
      </c>
      <c r="M61" s="21">
        <v>65</v>
      </c>
      <c r="N61" s="23"/>
      <c r="O61" s="23"/>
      <c r="P61" s="22"/>
      <c r="Q61" s="23"/>
      <c r="R61" s="23"/>
      <c r="S61" s="14"/>
      <c r="T61" s="22"/>
      <c r="U61" s="21">
        <v>53</v>
      </c>
      <c r="V61" s="14"/>
      <c r="W61" s="14"/>
      <c r="X61" s="21">
        <v>69</v>
      </c>
      <c r="Y61" s="14"/>
      <c r="Z61" s="21">
        <v>65</v>
      </c>
      <c r="AA61" s="21"/>
      <c r="AB61" s="32">
        <f t="shared" si="2"/>
        <v>513</v>
      </c>
      <c r="AC61" s="18"/>
      <c r="AD61" s="13">
        <f t="shared" si="3"/>
        <v>64.125</v>
      </c>
    </row>
    <row r="62" spans="1:30" x14ac:dyDescent="0.3">
      <c r="A62" s="7">
        <v>55</v>
      </c>
      <c r="B62" s="21" t="s">
        <v>36</v>
      </c>
      <c r="C62" s="21">
        <v>55</v>
      </c>
      <c r="D62" s="21">
        <v>75</v>
      </c>
      <c r="E62" s="21">
        <v>66</v>
      </c>
      <c r="F62" s="40"/>
      <c r="G62" s="21"/>
      <c r="H62" s="21"/>
      <c r="I62" s="14"/>
      <c r="J62" s="14"/>
      <c r="K62" s="22"/>
      <c r="L62" s="21">
        <v>58</v>
      </c>
      <c r="M62" s="21">
        <v>55</v>
      </c>
      <c r="N62" s="21"/>
      <c r="O62" s="21">
        <v>75</v>
      </c>
      <c r="P62" s="21">
        <v>54</v>
      </c>
      <c r="Q62" s="13"/>
      <c r="R62" s="21"/>
      <c r="S62" s="14"/>
      <c r="T62" s="22"/>
      <c r="U62" s="22"/>
      <c r="V62" s="21"/>
      <c r="W62" s="13"/>
      <c r="X62" s="13"/>
      <c r="Y62" s="13"/>
      <c r="Z62" s="21">
        <v>55</v>
      </c>
      <c r="AA62" s="21">
        <v>80</v>
      </c>
      <c r="AB62" s="32">
        <f t="shared" si="2"/>
        <v>573</v>
      </c>
      <c r="AC62" s="18"/>
      <c r="AD62" s="13">
        <f t="shared" si="3"/>
        <v>63.666666666666664</v>
      </c>
    </row>
    <row r="63" spans="1:30" x14ac:dyDescent="0.3">
      <c r="A63" s="7">
        <v>56</v>
      </c>
      <c r="B63" s="22" t="s">
        <v>66</v>
      </c>
      <c r="C63" s="21">
        <v>72</v>
      </c>
      <c r="D63" s="21">
        <v>86</v>
      </c>
      <c r="E63" s="21"/>
      <c r="F63" s="21">
        <v>56</v>
      </c>
      <c r="G63" s="23"/>
      <c r="H63" s="21">
        <v>65</v>
      </c>
      <c r="I63" s="14"/>
      <c r="J63" s="14"/>
      <c r="K63" s="23"/>
      <c r="L63" s="21">
        <v>54</v>
      </c>
      <c r="M63" s="21">
        <v>55</v>
      </c>
      <c r="N63" s="23"/>
      <c r="O63" s="21"/>
      <c r="P63" s="21"/>
      <c r="Q63" s="14"/>
      <c r="R63" s="23"/>
      <c r="S63" s="22"/>
      <c r="T63" s="23"/>
      <c r="U63" s="21">
        <v>52</v>
      </c>
      <c r="V63" s="14"/>
      <c r="W63" s="14"/>
      <c r="X63" s="21"/>
      <c r="Y63" s="14"/>
      <c r="Z63" s="21"/>
      <c r="AA63" s="21">
        <v>69</v>
      </c>
      <c r="AB63" s="32">
        <f t="shared" si="2"/>
        <v>509</v>
      </c>
      <c r="AC63" s="18"/>
      <c r="AD63" s="13">
        <f t="shared" si="3"/>
        <v>63.625</v>
      </c>
    </row>
    <row r="64" spans="1:30" x14ac:dyDescent="0.3">
      <c r="A64" s="7">
        <v>57</v>
      </c>
      <c r="B64" s="22" t="s">
        <v>145</v>
      </c>
      <c r="C64" s="21">
        <v>45</v>
      </c>
      <c r="D64" s="21">
        <v>74</v>
      </c>
      <c r="E64" s="14"/>
      <c r="F64" s="42"/>
      <c r="G64" s="21"/>
      <c r="H64" s="21"/>
      <c r="I64" s="21">
        <v>77</v>
      </c>
      <c r="J64" s="21"/>
      <c r="K64" s="21">
        <v>71</v>
      </c>
      <c r="L64" s="21">
        <v>62</v>
      </c>
      <c r="M64" s="23"/>
      <c r="N64" s="21">
        <v>55</v>
      </c>
      <c r="O64" s="14"/>
      <c r="P64" s="23"/>
      <c r="Q64" s="14"/>
      <c r="R64" s="21"/>
      <c r="S64" s="22"/>
      <c r="T64" s="23"/>
      <c r="U64" s="23"/>
      <c r="V64" s="14"/>
      <c r="W64" s="21">
        <v>69</v>
      </c>
      <c r="X64" s="14"/>
      <c r="Y64" s="21"/>
      <c r="Z64" s="14"/>
      <c r="AA64" s="21">
        <v>56</v>
      </c>
      <c r="AB64" s="32">
        <f t="shared" si="2"/>
        <v>509</v>
      </c>
      <c r="AC64" s="18"/>
      <c r="AD64" s="13">
        <f t="shared" si="3"/>
        <v>63.625</v>
      </c>
    </row>
    <row r="65" spans="1:30" x14ac:dyDescent="0.3">
      <c r="A65" s="7">
        <v>58</v>
      </c>
      <c r="B65" s="22" t="s">
        <v>117</v>
      </c>
      <c r="C65" s="21">
        <v>33</v>
      </c>
      <c r="D65" s="21">
        <v>83</v>
      </c>
      <c r="E65" s="21"/>
      <c r="F65" s="21"/>
      <c r="G65" s="22"/>
      <c r="H65" s="21">
        <v>66</v>
      </c>
      <c r="I65" s="14"/>
      <c r="J65" s="14"/>
      <c r="K65" s="22"/>
      <c r="L65" s="21">
        <v>55</v>
      </c>
      <c r="M65" s="21">
        <v>39</v>
      </c>
      <c r="N65" s="13"/>
      <c r="O65" s="21"/>
      <c r="P65" s="21"/>
      <c r="Q65" s="13"/>
      <c r="R65" s="13"/>
      <c r="S65" s="21">
        <v>71</v>
      </c>
      <c r="T65" s="21">
        <v>80</v>
      </c>
      <c r="U65" s="21"/>
      <c r="V65" s="14"/>
      <c r="W65" s="14"/>
      <c r="X65" s="14"/>
      <c r="Y65" s="14"/>
      <c r="Z65" s="21"/>
      <c r="AA65" s="21">
        <v>81</v>
      </c>
      <c r="AB65" s="32">
        <f t="shared" si="2"/>
        <v>508</v>
      </c>
      <c r="AC65" s="18"/>
      <c r="AD65" s="13">
        <f t="shared" si="3"/>
        <v>63.5</v>
      </c>
    </row>
    <row r="66" spans="1:30" x14ac:dyDescent="0.3">
      <c r="A66" s="7">
        <v>59</v>
      </c>
      <c r="B66" s="22" t="s">
        <v>149</v>
      </c>
      <c r="C66" s="21">
        <v>54</v>
      </c>
      <c r="D66" s="21">
        <v>74</v>
      </c>
      <c r="E66" s="14"/>
      <c r="F66" s="42"/>
      <c r="G66" s="21"/>
      <c r="H66" s="21"/>
      <c r="I66" s="21">
        <v>66</v>
      </c>
      <c r="J66" s="14"/>
      <c r="K66" s="21">
        <v>59</v>
      </c>
      <c r="L66" s="21">
        <v>45</v>
      </c>
      <c r="M66" s="21"/>
      <c r="N66" s="21">
        <v>54</v>
      </c>
      <c r="O66" s="22"/>
      <c r="P66" s="13"/>
      <c r="Q66" s="13"/>
      <c r="R66" s="21"/>
      <c r="S66" s="21"/>
      <c r="T66" s="21"/>
      <c r="U66" s="13"/>
      <c r="V66" s="14"/>
      <c r="W66" s="21">
        <v>77</v>
      </c>
      <c r="X66" s="14"/>
      <c r="Y66" s="14"/>
      <c r="Z66" s="14"/>
      <c r="AA66" s="21">
        <v>59</v>
      </c>
      <c r="AB66" s="32">
        <f t="shared" si="2"/>
        <v>488</v>
      </c>
      <c r="AC66" s="18"/>
      <c r="AD66" s="13">
        <f t="shared" si="3"/>
        <v>61</v>
      </c>
    </row>
    <row r="67" spans="1:30" x14ac:dyDescent="0.3">
      <c r="A67" s="7">
        <v>60</v>
      </c>
      <c r="B67" s="22" t="s">
        <v>151</v>
      </c>
      <c r="C67" s="21">
        <v>38</v>
      </c>
      <c r="D67" s="21">
        <v>66</v>
      </c>
      <c r="E67" s="21"/>
      <c r="F67" s="21"/>
      <c r="G67" s="22"/>
      <c r="H67" s="21"/>
      <c r="I67" s="21">
        <v>80</v>
      </c>
      <c r="J67" s="14"/>
      <c r="K67" s="21">
        <v>74</v>
      </c>
      <c r="L67" s="21">
        <v>35</v>
      </c>
      <c r="M67" s="21"/>
      <c r="N67" s="21">
        <v>69</v>
      </c>
      <c r="O67" s="21"/>
      <c r="P67" s="21"/>
      <c r="Q67" s="22"/>
      <c r="R67" s="13"/>
      <c r="S67" s="13"/>
      <c r="T67" s="22"/>
      <c r="U67" s="21"/>
      <c r="V67" s="14"/>
      <c r="W67" s="21">
        <v>66</v>
      </c>
      <c r="X67" s="14"/>
      <c r="Y67" s="14"/>
      <c r="Z67" s="21"/>
      <c r="AA67" s="21">
        <v>58</v>
      </c>
      <c r="AB67" s="32">
        <f t="shared" si="2"/>
        <v>486</v>
      </c>
      <c r="AC67" s="18"/>
      <c r="AD67" s="13">
        <f t="shared" si="3"/>
        <v>60.75</v>
      </c>
    </row>
    <row r="68" spans="1:30" x14ac:dyDescent="0.3">
      <c r="A68" s="7">
        <v>61</v>
      </c>
      <c r="B68" s="22" t="s">
        <v>119</v>
      </c>
      <c r="C68" s="21">
        <v>65</v>
      </c>
      <c r="D68" s="21">
        <v>58</v>
      </c>
      <c r="E68" s="23"/>
      <c r="F68" s="43"/>
      <c r="G68" s="21"/>
      <c r="H68" s="21">
        <v>52</v>
      </c>
      <c r="I68" s="23"/>
      <c r="J68" s="21"/>
      <c r="K68" s="23"/>
      <c r="L68" s="21">
        <v>56</v>
      </c>
      <c r="M68" s="21">
        <v>59</v>
      </c>
      <c r="N68" s="21"/>
      <c r="O68" s="23"/>
      <c r="P68" s="23"/>
      <c r="Q68" s="23"/>
      <c r="R68" s="21"/>
      <c r="S68" s="21">
        <v>58</v>
      </c>
      <c r="T68" s="21">
        <v>66</v>
      </c>
      <c r="U68" s="23"/>
      <c r="V68" s="23"/>
      <c r="W68" s="23"/>
      <c r="X68" s="23"/>
      <c r="Y68" s="21"/>
      <c r="Z68" s="23"/>
      <c r="AA68" s="21">
        <v>71</v>
      </c>
      <c r="AB68" s="32">
        <f t="shared" si="2"/>
        <v>485</v>
      </c>
      <c r="AC68" s="18"/>
      <c r="AD68" s="13">
        <f t="shared" si="3"/>
        <v>60.625</v>
      </c>
    </row>
    <row r="69" spans="1:30" x14ac:dyDescent="0.3">
      <c r="A69" s="7">
        <v>62</v>
      </c>
      <c r="B69" s="22" t="s">
        <v>85</v>
      </c>
      <c r="C69" s="21">
        <v>52</v>
      </c>
      <c r="D69" s="21">
        <v>74</v>
      </c>
      <c r="E69" s="14"/>
      <c r="F69" s="43"/>
      <c r="G69" s="21">
        <v>65</v>
      </c>
      <c r="H69" s="21">
        <v>52</v>
      </c>
      <c r="I69" s="14"/>
      <c r="J69" s="14"/>
      <c r="K69" s="13"/>
      <c r="L69" s="21">
        <v>62</v>
      </c>
      <c r="M69" s="21"/>
      <c r="N69" s="21">
        <v>38</v>
      </c>
      <c r="O69" s="14"/>
      <c r="P69" s="13"/>
      <c r="Q69" s="14"/>
      <c r="R69" s="21">
        <v>74</v>
      </c>
      <c r="S69" s="22"/>
      <c r="T69" s="13"/>
      <c r="U69" s="21"/>
      <c r="V69" s="14"/>
      <c r="W69" s="14"/>
      <c r="X69" s="14"/>
      <c r="Y69" s="14"/>
      <c r="Z69" s="14"/>
      <c r="AA69" s="21">
        <v>62</v>
      </c>
      <c r="AB69" s="32">
        <f t="shared" si="2"/>
        <v>479</v>
      </c>
      <c r="AC69" s="18"/>
      <c r="AD69" s="13">
        <f t="shared" si="3"/>
        <v>59.875</v>
      </c>
    </row>
    <row r="70" spans="1:30" x14ac:dyDescent="0.3">
      <c r="A70" s="7">
        <v>63</v>
      </c>
      <c r="B70" s="22" t="s">
        <v>42</v>
      </c>
      <c r="C70" s="21">
        <v>55</v>
      </c>
      <c r="D70" s="21">
        <v>73</v>
      </c>
      <c r="E70" s="21">
        <v>55</v>
      </c>
      <c r="F70" s="43"/>
      <c r="G70" s="22"/>
      <c r="H70" s="23"/>
      <c r="I70" s="14"/>
      <c r="J70" s="14"/>
      <c r="K70" s="22"/>
      <c r="L70" s="21">
        <v>58</v>
      </c>
      <c r="M70" s="21">
        <v>55</v>
      </c>
      <c r="N70" s="23"/>
      <c r="O70" s="21">
        <v>55</v>
      </c>
      <c r="P70" s="21">
        <v>62</v>
      </c>
      <c r="Q70" s="21"/>
      <c r="R70" s="22"/>
      <c r="S70" s="14"/>
      <c r="T70" s="23"/>
      <c r="U70" s="21"/>
      <c r="V70" s="14"/>
      <c r="W70" s="14"/>
      <c r="X70" s="21"/>
      <c r="Y70" s="14"/>
      <c r="Z70" s="21">
        <v>53</v>
      </c>
      <c r="AA70" s="21">
        <v>69</v>
      </c>
      <c r="AB70" s="32">
        <f t="shared" si="2"/>
        <v>535</v>
      </c>
      <c r="AC70" s="18"/>
      <c r="AD70" s="13">
        <f t="shared" si="3"/>
        <v>59.444444444444443</v>
      </c>
    </row>
    <row r="71" spans="1:30" x14ac:dyDescent="0.3">
      <c r="A71" s="7">
        <v>64</v>
      </c>
      <c r="B71" s="22" t="s">
        <v>134</v>
      </c>
      <c r="C71" s="21">
        <v>38</v>
      </c>
      <c r="D71" s="21">
        <v>77</v>
      </c>
      <c r="E71" s="21"/>
      <c r="F71" s="21"/>
      <c r="G71" s="14"/>
      <c r="H71" s="21"/>
      <c r="I71" s="14"/>
      <c r="J71" s="21">
        <v>75</v>
      </c>
      <c r="K71" s="14"/>
      <c r="L71" s="21">
        <v>38</v>
      </c>
      <c r="M71" s="21"/>
      <c r="N71" s="21">
        <v>55</v>
      </c>
      <c r="O71" s="22"/>
      <c r="P71" s="14"/>
      <c r="Q71" s="14"/>
      <c r="R71" s="14"/>
      <c r="S71" s="14"/>
      <c r="T71" s="14"/>
      <c r="U71" s="21"/>
      <c r="V71" s="22"/>
      <c r="W71" s="22"/>
      <c r="X71" s="21"/>
      <c r="Y71" s="21">
        <v>55</v>
      </c>
      <c r="Z71" s="21"/>
      <c r="AA71" s="21">
        <v>77</v>
      </c>
      <c r="AB71" s="32">
        <f t="shared" si="2"/>
        <v>415</v>
      </c>
      <c r="AC71" s="18"/>
      <c r="AD71" s="13">
        <f t="shared" si="3"/>
        <v>59.285714285714285</v>
      </c>
    </row>
    <row r="72" spans="1:30" x14ac:dyDescent="0.3">
      <c r="A72" s="7">
        <v>65</v>
      </c>
      <c r="B72" s="22" t="s">
        <v>155</v>
      </c>
      <c r="C72" s="21">
        <v>39</v>
      </c>
      <c r="D72" s="21">
        <v>69</v>
      </c>
      <c r="E72" s="14"/>
      <c r="F72" s="44"/>
      <c r="G72" s="21"/>
      <c r="H72" s="21"/>
      <c r="I72" s="21">
        <v>75</v>
      </c>
      <c r="J72" s="22"/>
      <c r="K72" s="21">
        <v>65</v>
      </c>
      <c r="L72" s="21">
        <v>55</v>
      </c>
      <c r="M72" s="13"/>
      <c r="N72" s="21">
        <v>38</v>
      </c>
      <c r="O72" s="22"/>
      <c r="P72" s="13"/>
      <c r="Q72" s="22"/>
      <c r="R72" s="21"/>
      <c r="S72" s="13"/>
      <c r="T72" s="13"/>
      <c r="U72" s="13"/>
      <c r="V72" s="22"/>
      <c r="W72" s="21">
        <v>69</v>
      </c>
      <c r="X72" s="22"/>
      <c r="Y72" s="22"/>
      <c r="Z72" s="22"/>
      <c r="AA72" s="21">
        <v>62</v>
      </c>
      <c r="AB72" s="32">
        <f t="shared" ref="AB72:AB103" si="4">SUM(C72:AA72)</f>
        <v>472</v>
      </c>
      <c r="AC72" s="18"/>
      <c r="AD72" s="13">
        <f t="shared" ref="AD72:AD103" si="5">AVERAGE(C72:AA72)</f>
        <v>59</v>
      </c>
    </row>
    <row r="73" spans="1:30" x14ac:dyDescent="0.3">
      <c r="A73" s="7">
        <v>66</v>
      </c>
      <c r="B73" s="22" t="s">
        <v>35</v>
      </c>
      <c r="C73" s="21">
        <v>62</v>
      </c>
      <c r="D73" s="21">
        <v>69</v>
      </c>
      <c r="E73" s="21">
        <v>58</v>
      </c>
      <c r="F73" s="43"/>
      <c r="G73" s="22"/>
      <c r="H73" s="21"/>
      <c r="I73" s="14"/>
      <c r="J73" s="14"/>
      <c r="K73" s="22"/>
      <c r="L73" s="21">
        <v>59</v>
      </c>
      <c r="M73" s="21">
        <v>58</v>
      </c>
      <c r="N73" s="22"/>
      <c r="O73" s="21">
        <v>58</v>
      </c>
      <c r="P73" s="21">
        <v>52</v>
      </c>
      <c r="Q73" s="13"/>
      <c r="R73" s="22"/>
      <c r="S73" s="21"/>
      <c r="T73" s="21"/>
      <c r="U73" s="21"/>
      <c r="V73" s="14"/>
      <c r="W73" s="14"/>
      <c r="X73" s="14"/>
      <c r="Y73" s="14"/>
      <c r="Z73" s="21">
        <v>55</v>
      </c>
      <c r="AA73" s="21">
        <v>59</v>
      </c>
      <c r="AB73" s="32">
        <f t="shared" si="4"/>
        <v>530</v>
      </c>
      <c r="AC73" s="18"/>
      <c r="AD73" s="13">
        <f t="shared" si="5"/>
        <v>58.888888888888886</v>
      </c>
    </row>
    <row r="74" spans="1:30" x14ac:dyDescent="0.3">
      <c r="A74" s="7">
        <v>67</v>
      </c>
      <c r="B74" s="22" t="s">
        <v>139</v>
      </c>
      <c r="C74" s="21">
        <v>41</v>
      </c>
      <c r="D74" s="21">
        <v>69</v>
      </c>
      <c r="E74" s="23"/>
      <c r="F74" s="43"/>
      <c r="G74" s="23"/>
      <c r="H74" s="23"/>
      <c r="I74" s="21"/>
      <c r="J74" s="21">
        <v>62</v>
      </c>
      <c r="K74" s="21"/>
      <c r="L74" s="21">
        <v>55</v>
      </c>
      <c r="M74" s="23"/>
      <c r="N74" s="21">
        <v>58</v>
      </c>
      <c r="O74" s="23"/>
      <c r="P74" s="23"/>
      <c r="Q74" s="23"/>
      <c r="R74" s="23"/>
      <c r="S74" s="23"/>
      <c r="T74" s="23"/>
      <c r="U74" s="23"/>
      <c r="V74" s="23"/>
      <c r="W74" s="21"/>
      <c r="X74" s="23"/>
      <c r="Y74" s="21">
        <v>62</v>
      </c>
      <c r="Z74" s="23"/>
      <c r="AA74" s="21">
        <v>65</v>
      </c>
      <c r="AB74" s="32">
        <f t="shared" si="4"/>
        <v>412</v>
      </c>
      <c r="AC74" s="18"/>
      <c r="AD74" s="13">
        <f t="shared" si="5"/>
        <v>58.857142857142854</v>
      </c>
    </row>
    <row r="75" spans="1:30" x14ac:dyDescent="0.3">
      <c r="A75" s="7">
        <v>68</v>
      </c>
      <c r="B75" s="22" t="s">
        <v>38</v>
      </c>
      <c r="C75" s="21">
        <v>58</v>
      </c>
      <c r="D75" s="21">
        <v>82</v>
      </c>
      <c r="E75" s="21">
        <v>75</v>
      </c>
      <c r="F75" s="40"/>
      <c r="G75" s="13"/>
      <c r="H75" s="23"/>
      <c r="I75" s="14"/>
      <c r="J75" s="14"/>
      <c r="K75" s="22"/>
      <c r="L75" s="21">
        <v>51</v>
      </c>
      <c r="M75" s="21">
        <v>52</v>
      </c>
      <c r="N75" s="22"/>
      <c r="O75" s="21">
        <v>56</v>
      </c>
      <c r="P75" s="21">
        <v>38</v>
      </c>
      <c r="Q75" s="21"/>
      <c r="R75" s="22"/>
      <c r="S75" s="22"/>
      <c r="T75" s="17"/>
      <c r="U75" s="21"/>
      <c r="V75" s="14"/>
      <c r="W75" s="14"/>
      <c r="X75" s="14"/>
      <c r="Y75" s="14"/>
      <c r="Z75" s="21">
        <v>45</v>
      </c>
      <c r="AA75" s="21">
        <v>72</v>
      </c>
      <c r="AB75" s="32">
        <f t="shared" si="4"/>
        <v>529</v>
      </c>
      <c r="AC75" s="18"/>
      <c r="AD75" s="13">
        <f t="shared" si="5"/>
        <v>58.777777777777779</v>
      </c>
    </row>
    <row r="76" spans="1:30" x14ac:dyDescent="0.3">
      <c r="A76" s="7">
        <v>69</v>
      </c>
      <c r="B76" s="22" t="s">
        <v>156</v>
      </c>
      <c r="C76" s="21">
        <v>53</v>
      </c>
      <c r="D76" s="21">
        <v>69</v>
      </c>
      <c r="E76" s="14"/>
      <c r="F76" s="21"/>
      <c r="G76" s="23"/>
      <c r="H76" s="21"/>
      <c r="I76" s="21">
        <v>55</v>
      </c>
      <c r="J76" s="22"/>
      <c r="K76" s="21">
        <v>74</v>
      </c>
      <c r="L76" s="21">
        <v>38</v>
      </c>
      <c r="M76" s="21"/>
      <c r="N76" s="21">
        <v>55</v>
      </c>
      <c r="O76" s="23"/>
      <c r="P76" s="23"/>
      <c r="Q76" s="23"/>
      <c r="R76" s="14"/>
      <c r="S76" s="21"/>
      <c r="T76" s="21"/>
      <c r="U76" s="21"/>
      <c r="V76" s="22"/>
      <c r="W76" s="21">
        <v>70</v>
      </c>
      <c r="X76" s="22"/>
      <c r="Y76" s="22"/>
      <c r="Z76" s="22"/>
      <c r="AA76" s="21">
        <v>55</v>
      </c>
      <c r="AB76" s="32">
        <f t="shared" si="4"/>
        <v>469</v>
      </c>
      <c r="AC76" s="18"/>
      <c r="AD76" s="13">
        <f t="shared" si="5"/>
        <v>58.625</v>
      </c>
    </row>
    <row r="77" spans="1:30" x14ac:dyDescent="0.3">
      <c r="A77" s="7">
        <v>70</v>
      </c>
      <c r="B77" s="22" t="s">
        <v>111</v>
      </c>
      <c r="C77" s="21">
        <v>54</v>
      </c>
      <c r="D77" s="21">
        <v>65</v>
      </c>
      <c r="E77" s="23"/>
      <c r="F77" s="43"/>
      <c r="G77" s="23"/>
      <c r="H77" s="21">
        <v>59</v>
      </c>
      <c r="I77" s="21"/>
      <c r="J77" s="21"/>
      <c r="K77" s="21"/>
      <c r="L77" s="21">
        <v>47</v>
      </c>
      <c r="M77" s="21">
        <v>61</v>
      </c>
      <c r="N77" s="21"/>
      <c r="O77" s="23"/>
      <c r="P77" s="23"/>
      <c r="Q77" s="23"/>
      <c r="R77" s="23"/>
      <c r="S77" s="21">
        <v>45</v>
      </c>
      <c r="T77" s="21">
        <v>69</v>
      </c>
      <c r="U77" s="23"/>
      <c r="V77" s="23"/>
      <c r="W77" s="21"/>
      <c r="X77" s="23"/>
      <c r="Y77" s="21"/>
      <c r="Z77" s="23"/>
      <c r="AA77" s="21">
        <v>65</v>
      </c>
      <c r="AB77" s="32">
        <f t="shared" si="4"/>
        <v>465</v>
      </c>
      <c r="AC77" s="18"/>
      <c r="AD77" s="13">
        <f t="shared" si="5"/>
        <v>58.125</v>
      </c>
    </row>
    <row r="78" spans="1:30" x14ac:dyDescent="0.3">
      <c r="A78" s="7">
        <v>71</v>
      </c>
      <c r="B78" s="22" t="s">
        <v>122</v>
      </c>
      <c r="C78" s="21">
        <v>55</v>
      </c>
      <c r="D78" s="21">
        <v>70</v>
      </c>
      <c r="E78" s="21"/>
      <c r="F78" s="21"/>
      <c r="G78" s="13"/>
      <c r="H78" s="21">
        <v>60</v>
      </c>
      <c r="I78" s="14"/>
      <c r="J78" s="14"/>
      <c r="K78" s="22"/>
      <c r="L78" s="21">
        <v>33</v>
      </c>
      <c r="M78" s="21">
        <v>39</v>
      </c>
      <c r="N78" s="22"/>
      <c r="O78" s="13"/>
      <c r="P78" s="13"/>
      <c r="Q78" s="13"/>
      <c r="R78" s="22"/>
      <c r="S78" s="21">
        <v>69</v>
      </c>
      <c r="T78" s="21">
        <v>70</v>
      </c>
      <c r="U78" s="21"/>
      <c r="V78" s="14"/>
      <c r="W78" s="14"/>
      <c r="X78" s="21"/>
      <c r="Y78" s="14"/>
      <c r="Z78" s="21"/>
      <c r="AA78" s="21">
        <v>66</v>
      </c>
      <c r="AB78" s="32">
        <f t="shared" si="4"/>
        <v>462</v>
      </c>
      <c r="AC78" s="18"/>
      <c r="AD78" s="13">
        <f t="shared" si="5"/>
        <v>57.75</v>
      </c>
    </row>
    <row r="79" spans="1:30" x14ac:dyDescent="0.3">
      <c r="A79" s="7">
        <v>72</v>
      </c>
      <c r="B79" s="22" t="s">
        <v>106</v>
      </c>
      <c r="C79" s="21">
        <v>28</v>
      </c>
      <c r="D79" s="21">
        <v>77</v>
      </c>
      <c r="E79" s="22"/>
      <c r="F79" s="44"/>
      <c r="G79" s="21">
        <v>65</v>
      </c>
      <c r="H79" s="21">
        <v>55</v>
      </c>
      <c r="I79" s="14"/>
      <c r="J79" s="21"/>
      <c r="K79" s="14"/>
      <c r="L79" s="21">
        <v>60</v>
      </c>
      <c r="M79" s="21"/>
      <c r="N79" s="21">
        <v>38</v>
      </c>
      <c r="O79" s="13"/>
      <c r="P79" s="14"/>
      <c r="Q79" s="13"/>
      <c r="R79" s="21">
        <v>71</v>
      </c>
      <c r="S79" s="21"/>
      <c r="T79" s="21"/>
      <c r="U79" s="14"/>
      <c r="V79" s="13"/>
      <c r="W79" s="13"/>
      <c r="X79" s="13"/>
      <c r="Y79" s="21"/>
      <c r="Z79" s="13"/>
      <c r="AA79" s="21">
        <v>65</v>
      </c>
      <c r="AB79" s="32">
        <f t="shared" si="4"/>
        <v>459</v>
      </c>
      <c r="AC79" s="18"/>
      <c r="AD79" s="13">
        <f t="shared" si="5"/>
        <v>57.375</v>
      </c>
    </row>
    <row r="80" spans="1:30" x14ac:dyDescent="0.3">
      <c r="A80" s="7">
        <v>73</v>
      </c>
      <c r="B80" s="22" t="s">
        <v>102</v>
      </c>
      <c r="C80" s="21">
        <v>34</v>
      </c>
      <c r="D80" s="21">
        <v>70</v>
      </c>
      <c r="E80" s="14"/>
      <c r="F80" s="43"/>
      <c r="G80" s="21">
        <v>69</v>
      </c>
      <c r="H80" s="21">
        <v>55</v>
      </c>
      <c r="I80" s="14"/>
      <c r="J80" s="14"/>
      <c r="K80" s="23"/>
      <c r="L80" s="21">
        <v>52</v>
      </c>
      <c r="M80" s="21"/>
      <c r="N80" s="21">
        <v>62</v>
      </c>
      <c r="O80" s="14"/>
      <c r="P80" s="23"/>
      <c r="Q80" s="14"/>
      <c r="R80" s="21">
        <v>47</v>
      </c>
      <c r="S80" s="22"/>
      <c r="T80" s="23"/>
      <c r="U80" s="21"/>
      <c r="V80" s="14"/>
      <c r="W80" s="14"/>
      <c r="X80" s="14"/>
      <c r="Y80" s="14"/>
      <c r="Z80" s="14"/>
      <c r="AA80" s="21">
        <v>65</v>
      </c>
      <c r="AB80" s="32">
        <f t="shared" si="4"/>
        <v>454</v>
      </c>
      <c r="AC80" s="18"/>
      <c r="AD80" s="13">
        <f t="shared" si="5"/>
        <v>56.75</v>
      </c>
    </row>
    <row r="81" spans="1:30" x14ac:dyDescent="0.3">
      <c r="A81" s="7">
        <v>74</v>
      </c>
      <c r="B81" s="22" t="s">
        <v>59</v>
      </c>
      <c r="C81" s="21">
        <v>62</v>
      </c>
      <c r="D81" s="21">
        <v>82</v>
      </c>
      <c r="E81" s="21">
        <v>52</v>
      </c>
      <c r="F81" s="43"/>
      <c r="G81" s="22"/>
      <c r="H81" s="13"/>
      <c r="I81" s="14"/>
      <c r="J81" s="14"/>
      <c r="K81" s="22"/>
      <c r="L81" s="21">
        <v>62</v>
      </c>
      <c r="M81" s="21">
        <v>28</v>
      </c>
      <c r="N81" s="13"/>
      <c r="O81" s="14"/>
      <c r="P81" s="21"/>
      <c r="Q81" s="21"/>
      <c r="R81" s="13"/>
      <c r="S81" s="13"/>
      <c r="T81" s="22"/>
      <c r="U81" s="21">
        <v>52</v>
      </c>
      <c r="V81" s="14"/>
      <c r="W81" s="14"/>
      <c r="X81" s="21">
        <v>62</v>
      </c>
      <c r="Y81" s="14"/>
      <c r="Z81" s="21">
        <v>53</v>
      </c>
      <c r="AA81" s="22"/>
      <c r="AB81" s="32">
        <f t="shared" si="4"/>
        <v>453</v>
      </c>
      <c r="AC81" s="18"/>
      <c r="AD81" s="13">
        <f t="shared" si="5"/>
        <v>56.625</v>
      </c>
    </row>
    <row r="82" spans="1:30" x14ac:dyDescent="0.3">
      <c r="A82" s="7">
        <v>75</v>
      </c>
      <c r="B82" s="22" t="s">
        <v>72</v>
      </c>
      <c r="C82" s="21">
        <v>52</v>
      </c>
      <c r="D82" s="21">
        <v>74</v>
      </c>
      <c r="E82" s="23"/>
      <c r="F82" s="21">
        <v>62</v>
      </c>
      <c r="G82" s="23"/>
      <c r="H82" s="21">
        <v>42</v>
      </c>
      <c r="I82" s="21"/>
      <c r="J82" s="23"/>
      <c r="K82" s="21"/>
      <c r="L82" s="21">
        <v>54</v>
      </c>
      <c r="M82" s="21">
        <v>50</v>
      </c>
      <c r="N82" s="21"/>
      <c r="O82" s="23"/>
      <c r="P82" s="23"/>
      <c r="Q82" s="23"/>
      <c r="R82" s="23"/>
      <c r="S82" s="21"/>
      <c r="T82" s="21"/>
      <c r="U82" s="21">
        <v>45</v>
      </c>
      <c r="V82" s="23"/>
      <c r="W82" s="21"/>
      <c r="X82" s="23"/>
      <c r="Y82" s="23"/>
      <c r="Z82" s="23"/>
      <c r="AA82" s="21">
        <v>74</v>
      </c>
      <c r="AB82" s="32">
        <f t="shared" si="4"/>
        <v>453</v>
      </c>
      <c r="AC82" s="18"/>
      <c r="AD82" s="13">
        <f t="shared" si="5"/>
        <v>56.625</v>
      </c>
    </row>
    <row r="83" spans="1:30" x14ac:dyDescent="0.3">
      <c r="A83" s="7">
        <v>76</v>
      </c>
      <c r="B83" s="22" t="s">
        <v>92</v>
      </c>
      <c r="C83" s="21">
        <v>44</v>
      </c>
      <c r="D83" s="21">
        <v>71</v>
      </c>
      <c r="E83" s="14"/>
      <c r="F83" s="42"/>
      <c r="G83" s="21">
        <v>54</v>
      </c>
      <c r="H83" s="21">
        <v>65</v>
      </c>
      <c r="I83" s="14"/>
      <c r="J83" s="22"/>
      <c r="K83" s="14"/>
      <c r="L83" s="21">
        <v>41</v>
      </c>
      <c r="M83" s="22"/>
      <c r="N83" s="21">
        <v>54</v>
      </c>
      <c r="O83" s="22"/>
      <c r="P83" s="14"/>
      <c r="Q83" s="14"/>
      <c r="R83" s="21">
        <v>55</v>
      </c>
      <c r="S83" s="14"/>
      <c r="T83" s="14"/>
      <c r="U83" s="14"/>
      <c r="V83" s="22"/>
      <c r="W83" s="22"/>
      <c r="X83" s="22"/>
      <c r="Y83" s="22"/>
      <c r="Z83" s="22"/>
      <c r="AA83" s="21">
        <v>65</v>
      </c>
      <c r="AB83" s="32">
        <f t="shared" si="4"/>
        <v>449</v>
      </c>
      <c r="AC83" s="18"/>
      <c r="AD83" s="13">
        <f t="shared" si="5"/>
        <v>56.125</v>
      </c>
    </row>
    <row r="84" spans="1:30" x14ac:dyDescent="0.3">
      <c r="A84" s="7">
        <v>77</v>
      </c>
      <c r="B84" s="22" t="s">
        <v>118</v>
      </c>
      <c r="C84" s="21">
        <v>52</v>
      </c>
      <c r="D84" s="21">
        <v>84</v>
      </c>
      <c r="E84" s="23"/>
      <c r="F84" s="43"/>
      <c r="G84" s="23"/>
      <c r="H84" s="21">
        <v>60</v>
      </c>
      <c r="I84" s="21"/>
      <c r="J84" s="21"/>
      <c r="K84" s="21"/>
      <c r="L84" s="21">
        <v>38</v>
      </c>
      <c r="M84" s="21">
        <v>48</v>
      </c>
      <c r="N84" s="21"/>
      <c r="O84" s="23"/>
      <c r="P84" s="23"/>
      <c r="Q84" s="23"/>
      <c r="R84" s="23"/>
      <c r="S84" s="21">
        <v>39</v>
      </c>
      <c r="T84" s="21">
        <v>62</v>
      </c>
      <c r="U84" s="23"/>
      <c r="V84" s="23"/>
      <c r="W84" s="21"/>
      <c r="X84" s="23"/>
      <c r="Y84" s="21"/>
      <c r="Z84" s="23"/>
      <c r="AA84" s="21">
        <v>65</v>
      </c>
      <c r="AB84" s="32">
        <f t="shared" si="4"/>
        <v>448</v>
      </c>
      <c r="AC84" s="18"/>
      <c r="AD84" s="13">
        <f t="shared" si="5"/>
        <v>56</v>
      </c>
    </row>
    <row r="85" spans="1:30" x14ac:dyDescent="0.3">
      <c r="A85" s="7">
        <v>78</v>
      </c>
      <c r="B85" s="22" t="s">
        <v>116</v>
      </c>
      <c r="C85" s="21">
        <v>41</v>
      </c>
      <c r="D85" s="21">
        <v>69</v>
      </c>
      <c r="E85" s="23"/>
      <c r="F85" s="43"/>
      <c r="G85" s="23"/>
      <c r="H85" s="21">
        <v>38</v>
      </c>
      <c r="I85" s="21"/>
      <c r="J85" s="23"/>
      <c r="K85" s="21"/>
      <c r="L85" s="21">
        <v>39</v>
      </c>
      <c r="M85" s="21">
        <v>49</v>
      </c>
      <c r="N85" s="21"/>
      <c r="O85" s="23"/>
      <c r="P85" s="23"/>
      <c r="Q85" s="23"/>
      <c r="R85" s="23"/>
      <c r="S85" s="21">
        <v>81</v>
      </c>
      <c r="T85" s="21">
        <v>69</v>
      </c>
      <c r="U85" s="23"/>
      <c r="V85" s="23"/>
      <c r="W85" s="21"/>
      <c r="X85" s="23"/>
      <c r="Y85" s="23"/>
      <c r="Z85" s="23"/>
      <c r="AA85" s="21">
        <v>58</v>
      </c>
      <c r="AB85" s="32">
        <f t="shared" si="4"/>
        <v>444</v>
      </c>
      <c r="AC85" s="18"/>
      <c r="AD85" s="13">
        <f t="shared" si="5"/>
        <v>55.5</v>
      </c>
    </row>
    <row r="86" spans="1:30" x14ac:dyDescent="0.3">
      <c r="A86" s="7">
        <v>79</v>
      </c>
      <c r="B86" s="22" t="s">
        <v>78</v>
      </c>
      <c r="C86" s="21">
        <v>32</v>
      </c>
      <c r="D86" s="21">
        <v>77</v>
      </c>
      <c r="E86" s="23"/>
      <c r="F86" s="21">
        <v>41</v>
      </c>
      <c r="G86" s="23"/>
      <c r="H86" s="21">
        <v>60</v>
      </c>
      <c r="I86" s="21"/>
      <c r="J86" s="21"/>
      <c r="K86" s="21"/>
      <c r="L86" s="21">
        <v>58</v>
      </c>
      <c r="M86" s="21">
        <v>55</v>
      </c>
      <c r="N86" s="21"/>
      <c r="O86" s="23"/>
      <c r="P86" s="23"/>
      <c r="Q86" s="23"/>
      <c r="R86" s="23"/>
      <c r="S86" s="23"/>
      <c r="T86" s="23"/>
      <c r="U86" s="21">
        <v>51</v>
      </c>
      <c r="V86" s="23"/>
      <c r="W86" s="21"/>
      <c r="X86" s="23"/>
      <c r="Y86" s="21"/>
      <c r="Z86" s="23"/>
      <c r="AA86" s="21">
        <v>65</v>
      </c>
      <c r="AB86" s="32">
        <f t="shared" si="4"/>
        <v>439</v>
      </c>
      <c r="AC86" s="18"/>
      <c r="AD86" s="13">
        <f t="shared" si="5"/>
        <v>54.875</v>
      </c>
    </row>
    <row r="87" spans="1:30" x14ac:dyDescent="0.3">
      <c r="A87" s="7">
        <v>80</v>
      </c>
      <c r="B87" s="22" t="s">
        <v>133</v>
      </c>
      <c r="C87" s="21">
        <v>38</v>
      </c>
      <c r="D87" s="21">
        <v>77</v>
      </c>
      <c r="E87" s="21"/>
      <c r="F87" s="40"/>
      <c r="G87" s="21"/>
      <c r="H87" s="21"/>
      <c r="I87" s="14"/>
      <c r="J87" s="21">
        <v>62</v>
      </c>
      <c r="K87" s="22"/>
      <c r="L87" s="21">
        <v>32</v>
      </c>
      <c r="M87" s="21"/>
      <c r="N87" s="21">
        <v>69</v>
      </c>
      <c r="O87" s="21"/>
      <c r="P87" s="21"/>
      <c r="Q87" s="13"/>
      <c r="R87" s="21"/>
      <c r="S87" s="13"/>
      <c r="T87" s="22"/>
      <c r="U87" s="22"/>
      <c r="V87" s="14"/>
      <c r="W87" s="14"/>
      <c r="X87" s="14"/>
      <c r="Y87" s="21">
        <v>54</v>
      </c>
      <c r="Z87" s="21"/>
      <c r="AA87" s="21">
        <v>47</v>
      </c>
      <c r="AB87" s="32">
        <f t="shared" si="4"/>
        <v>379</v>
      </c>
      <c r="AC87" s="18"/>
      <c r="AD87" s="13">
        <f t="shared" si="5"/>
        <v>54.142857142857146</v>
      </c>
    </row>
    <row r="88" spans="1:30" x14ac:dyDescent="0.3">
      <c r="A88" s="7">
        <v>81</v>
      </c>
      <c r="B88" s="22" t="s">
        <v>144</v>
      </c>
      <c r="C88" s="21">
        <v>55</v>
      </c>
      <c r="D88" s="21">
        <v>69</v>
      </c>
      <c r="E88" s="14"/>
      <c r="F88" s="43"/>
      <c r="G88" s="21"/>
      <c r="H88" s="21"/>
      <c r="I88" s="21">
        <v>56</v>
      </c>
      <c r="J88" s="14"/>
      <c r="K88" s="21">
        <v>62</v>
      </c>
      <c r="L88" s="21">
        <v>28</v>
      </c>
      <c r="M88" s="21"/>
      <c r="N88" s="21">
        <v>52</v>
      </c>
      <c r="O88" s="23"/>
      <c r="P88" s="22"/>
      <c r="Q88" s="23"/>
      <c r="R88" s="21"/>
      <c r="S88" s="14"/>
      <c r="T88" s="23"/>
      <c r="U88" s="21"/>
      <c r="V88" s="14"/>
      <c r="W88" s="21">
        <v>58</v>
      </c>
      <c r="X88" s="14"/>
      <c r="Y88" s="14"/>
      <c r="Z88" s="14"/>
      <c r="AA88" s="21">
        <v>52</v>
      </c>
      <c r="AB88" s="32">
        <f t="shared" si="4"/>
        <v>432</v>
      </c>
      <c r="AC88" s="18"/>
      <c r="AD88" s="13">
        <f t="shared" si="5"/>
        <v>54</v>
      </c>
    </row>
    <row r="89" spans="1:30" x14ac:dyDescent="0.3">
      <c r="A89" s="7">
        <v>82</v>
      </c>
      <c r="B89" s="22" t="s">
        <v>112</v>
      </c>
      <c r="C89" s="21">
        <v>55</v>
      </c>
      <c r="D89" s="21">
        <v>71</v>
      </c>
      <c r="E89" s="23"/>
      <c r="F89" s="43"/>
      <c r="G89" s="23"/>
      <c r="H89" s="21">
        <v>52</v>
      </c>
      <c r="I89" s="21"/>
      <c r="J89" s="23"/>
      <c r="K89" s="21"/>
      <c r="L89" s="21">
        <v>22</v>
      </c>
      <c r="M89" s="21">
        <v>45</v>
      </c>
      <c r="N89" s="21"/>
      <c r="O89" s="23"/>
      <c r="P89" s="23"/>
      <c r="Q89" s="23"/>
      <c r="R89" s="23"/>
      <c r="S89" s="21">
        <v>52</v>
      </c>
      <c r="T89" s="21">
        <v>71</v>
      </c>
      <c r="U89" s="23"/>
      <c r="V89" s="23"/>
      <c r="W89" s="21"/>
      <c r="X89" s="23"/>
      <c r="Y89" s="23"/>
      <c r="Z89" s="23"/>
      <c r="AA89" s="21">
        <v>62</v>
      </c>
      <c r="AB89" s="32">
        <f t="shared" si="4"/>
        <v>430</v>
      </c>
      <c r="AC89" s="18"/>
      <c r="AD89" s="13">
        <f t="shared" si="5"/>
        <v>53.75</v>
      </c>
    </row>
    <row r="90" spans="1:30" x14ac:dyDescent="0.3">
      <c r="A90" s="7">
        <v>83</v>
      </c>
      <c r="B90" s="22" t="s">
        <v>137</v>
      </c>
      <c r="C90" s="21">
        <v>40</v>
      </c>
      <c r="D90" s="21">
        <v>76</v>
      </c>
      <c r="E90" s="22"/>
      <c r="F90" s="40"/>
      <c r="G90" s="21"/>
      <c r="H90" s="21"/>
      <c r="I90" s="14"/>
      <c r="J90" s="21">
        <v>55</v>
      </c>
      <c r="K90" s="14"/>
      <c r="L90" s="21">
        <v>39</v>
      </c>
      <c r="M90" s="14"/>
      <c r="N90" s="21">
        <v>62</v>
      </c>
      <c r="O90" s="22"/>
      <c r="P90" s="14"/>
      <c r="Q90" s="22"/>
      <c r="R90" s="21"/>
      <c r="S90" s="14"/>
      <c r="T90" s="14"/>
      <c r="U90" s="14"/>
      <c r="V90" s="22"/>
      <c r="W90" s="22"/>
      <c r="X90" s="22"/>
      <c r="Y90" s="21">
        <v>39</v>
      </c>
      <c r="Z90" s="22"/>
      <c r="AA90" s="21">
        <v>65</v>
      </c>
      <c r="AB90" s="32">
        <f t="shared" si="4"/>
        <v>376</v>
      </c>
      <c r="AC90" s="18"/>
      <c r="AD90" s="13">
        <f t="shared" si="5"/>
        <v>53.714285714285715</v>
      </c>
    </row>
    <row r="91" spans="1:30" x14ac:dyDescent="0.3">
      <c r="A91" s="7">
        <v>84</v>
      </c>
      <c r="B91" s="22" t="s">
        <v>71</v>
      </c>
      <c r="C91" s="21">
        <v>33</v>
      </c>
      <c r="D91" s="21">
        <v>69</v>
      </c>
      <c r="E91" s="22"/>
      <c r="F91" s="21">
        <v>55</v>
      </c>
      <c r="G91" s="14"/>
      <c r="H91" s="21">
        <v>45</v>
      </c>
      <c r="I91" s="21"/>
      <c r="J91" s="22"/>
      <c r="K91" s="21"/>
      <c r="L91" s="21">
        <v>55</v>
      </c>
      <c r="M91" s="21">
        <v>56</v>
      </c>
      <c r="N91" s="21"/>
      <c r="O91" s="22"/>
      <c r="P91" s="14"/>
      <c r="Q91" s="22"/>
      <c r="R91" s="14"/>
      <c r="S91" s="14"/>
      <c r="T91" s="14"/>
      <c r="U91" s="21">
        <v>54</v>
      </c>
      <c r="V91" s="22"/>
      <c r="W91" s="21"/>
      <c r="X91" s="22"/>
      <c r="Y91" s="22"/>
      <c r="Z91" s="22"/>
      <c r="AA91" s="21">
        <v>62</v>
      </c>
      <c r="AB91" s="32">
        <f t="shared" si="4"/>
        <v>429</v>
      </c>
      <c r="AC91" s="18"/>
      <c r="AD91" s="13">
        <f t="shared" si="5"/>
        <v>53.625</v>
      </c>
    </row>
    <row r="92" spans="1:30" x14ac:dyDescent="0.3">
      <c r="A92" s="7">
        <v>85</v>
      </c>
      <c r="B92" s="22" t="s">
        <v>56</v>
      </c>
      <c r="C92" s="21">
        <v>58</v>
      </c>
      <c r="D92" s="21">
        <v>80</v>
      </c>
      <c r="E92" s="21">
        <v>45</v>
      </c>
      <c r="F92" s="42"/>
      <c r="G92" s="21"/>
      <c r="H92" s="21"/>
      <c r="I92" s="14"/>
      <c r="J92" s="21"/>
      <c r="K92" s="14"/>
      <c r="L92" s="21">
        <v>58</v>
      </c>
      <c r="M92" s="21">
        <v>54</v>
      </c>
      <c r="N92" s="21"/>
      <c r="O92" s="14"/>
      <c r="P92" s="14"/>
      <c r="Q92" s="14"/>
      <c r="R92" s="21"/>
      <c r="S92" s="14"/>
      <c r="T92" s="14"/>
      <c r="U92" s="21">
        <v>42</v>
      </c>
      <c r="V92" s="14"/>
      <c r="W92" s="14"/>
      <c r="X92" s="21">
        <v>49</v>
      </c>
      <c r="Y92" s="21"/>
      <c r="Z92" s="21">
        <v>42</v>
      </c>
      <c r="AA92" s="21"/>
      <c r="AB92" s="32">
        <f t="shared" si="4"/>
        <v>428</v>
      </c>
      <c r="AC92" s="18"/>
      <c r="AD92" s="13">
        <f t="shared" si="5"/>
        <v>53.5</v>
      </c>
    </row>
    <row r="93" spans="1:30" x14ac:dyDescent="0.3">
      <c r="A93" s="7">
        <v>86</v>
      </c>
      <c r="B93" s="22" t="s">
        <v>76</v>
      </c>
      <c r="C93" s="21">
        <v>52</v>
      </c>
      <c r="D93" s="21">
        <v>77</v>
      </c>
      <c r="E93" s="21"/>
      <c r="F93" s="21">
        <v>28</v>
      </c>
      <c r="G93" s="13"/>
      <c r="H93" s="21">
        <v>52</v>
      </c>
      <c r="I93" s="14"/>
      <c r="J93" s="14"/>
      <c r="K93" s="22"/>
      <c r="L93" s="21">
        <v>60</v>
      </c>
      <c r="M93" s="21">
        <v>50</v>
      </c>
      <c r="N93" s="22"/>
      <c r="O93" s="21"/>
      <c r="P93" s="21"/>
      <c r="Q93" s="13"/>
      <c r="R93" s="22"/>
      <c r="S93" s="14"/>
      <c r="T93" s="13"/>
      <c r="U93" s="21">
        <v>63</v>
      </c>
      <c r="V93" s="14"/>
      <c r="W93" s="14"/>
      <c r="X93" s="21"/>
      <c r="Y93" s="14"/>
      <c r="Z93" s="21"/>
      <c r="AA93" s="21">
        <v>45</v>
      </c>
      <c r="AB93" s="32">
        <f t="shared" si="4"/>
        <v>427</v>
      </c>
      <c r="AC93" s="18"/>
      <c r="AD93" s="13">
        <f t="shared" si="5"/>
        <v>53.375</v>
      </c>
    </row>
    <row r="94" spans="1:30" x14ac:dyDescent="0.3">
      <c r="A94" s="7">
        <v>87</v>
      </c>
      <c r="B94" s="22" t="s">
        <v>97</v>
      </c>
      <c r="C94" s="21">
        <v>25</v>
      </c>
      <c r="D94" s="21">
        <v>55</v>
      </c>
      <c r="E94" s="21"/>
      <c r="F94" s="40"/>
      <c r="G94" s="21">
        <v>53</v>
      </c>
      <c r="H94" s="21">
        <v>65</v>
      </c>
      <c r="I94" s="14"/>
      <c r="J94" s="14"/>
      <c r="K94" s="22"/>
      <c r="L94" s="21">
        <v>56</v>
      </c>
      <c r="M94" s="21"/>
      <c r="N94" s="21">
        <v>52</v>
      </c>
      <c r="O94" s="21"/>
      <c r="P94" s="21"/>
      <c r="Q94" s="23"/>
      <c r="R94" s="21">
        <v>69</v>
      </c>
      <c r="S94" s="14"/>
      <c r="T94" s="22"/>
      <c r="U94" s="22"/>
      <c r="V94" s="22"/>
      <c r="W94" s="22"/>
      <c r="X94" s="22"/>
      <c r="Y94" s="22"/>
      <c r="Z94" s="21"/>
      <c r="AA94" s="21">
        <v>47</v>
      </c>
      <c r="AB94" s="32">
        <f t="shared" si="4"/>
        <v>422</v>
      </c>
      <c r="AC94" s="18"/>
      <c r="AD94" s="13">
        <f t="shared" si="5"/>
        <v>52.75</v>
      </c>
    </row>
    <row r="95" spans="1:30" x14ac:dyDescent="0.3">
      <c r="A95" s="7">
        <v>88</v>
      </c>
      <c r="B95" s="22" t="s">
        <v>154</v>
      </c>
      <c r="C95" s="21">
        <v>39</v>
      </c>
      <c r="D95" s="21">
        <v>69</v>
      </c>
      <c r="E95" s="23"/>
      <c r="F95" s="43"/>
      <c r="G95" s="21"/>
      <c r="H95" s="21"/>
      <c r="I95" s="21">
        <v>62</v>
      </c>
      <c r="J95" s="23"/>
      <c r="K95" s="21">
        <v>39</v>
      </c>
      <c r="L95" s="21">
        <v>62</v>
      </c>
      <c r="M95" s="23"/>
      <c r="N95" s="21">
        <v>55</v>
      </c>
      <c r="O95" s="23"/>
      <c r="P95" s="23"/>
      <c r="Q95" s="23"/>
      <c r="R95" s="21"/>
      <c r="S95" s="23"/>
      <c r="T95" s="23"/>
      <c r="U95" s="23"/>
      <c r="V95" s="23"/>
      <c r="W95" s="21">
        <v>55</v>
      </c>
      <c r="X95" s="23"/>
      <c r="Y95" s="23"/>
      <c r="Z95" s="23"/>
      <c r="AA95" s="21">
        <v>39</v>
      </c>
      <c r="AB95" s="32">
        <f t="shared" si="4"/>
        <v>420</v>
      </c>
      <c r="AC95" s="18"/>
      <c r="AD95" s="13">
        <f t="shared" si="5"/>
        <v>52.5</v>
      </c>
    </row>
    <row r="96" spans="1:30" x14ac:dyDescent="0.3">
      <c r="A96" s="7">
        <v>89</v>
      </c>
      <c r="B96" s="22" t="s">
        <v>104</v>
      </c>
      <c r="C96" s="21">
        <v>33</v>
      </c>
      <c r="D96" s="21">
        <v>88</v>
      </c>
      <c r="E96" s="21"/>
      <c r="F96" s="21"/>
      <c r="G96" s="21">
        <v>54</v>
      </c>
      <c r="H96" s="21">
        <v>62</v>
      </c>
      <c r="I96" s="14"/>
      <c r="J96" s="14"/>
      <c r="K96" s="14"/>
      <c r="L96" s="21">
        <v>39</v>
      </c>
      <c r="M96" s="21"/>
      <c r="N96" s="21">
        <v>33</v>
      </c>
      <c r="O96" s="14"/>
      <c r="P96" s="16"/>
      <c r="Q96" s="22"/>
      <c r="R96" s="21">
        <v>65</v>
      </c>
      <c r="S96" s="16"/>
      <c r="T96" s="16"/>
      <c r="U96" s="21"/>
      <c r="V96" s="14"/>
      <c r="W96" s="14"/>
      <c r="X96" s="21"/>
      <c r="Y96" s="14"/>
      <c r="Z96" s="21"/>
      <c r="AA96" s="21">
        <v>45</v>
      </c>
      <c r="AB96" s="32">
        <f t="shared" si="4"/>
        <v>419</v>
      </c>
      <c r="AC96" s="18"/>
      <c r="AD96" s="13">
        <f t="shared" si="5"/>
        <v>52.375</v>
      </c>
    </row>
    <row r="97" spans="1:30" x14ac:dyDescent="0.3">
      <c r="A97" s="7">
        <v>90</v>
      </c>
      <c r="B97" s="22" t="s">
        <v>99</v>
      </c>
      <c r="C97" s="21">
        <v>42</v>
      </c>
      <c r="D97" s="21">
        <v>82</v>
      </c>
      <c r="E97" s="14"/>
      <c r="F97" s="42"/>
      <c r="G97" s="21">
        <v>45</v>
      </c>
      <c r="H97" s="21">
        <v>55</v>
      </c>
      <c r="I97" s="21"/>
      <c r="J97" s="14"/>
      <c r="K97" s="21"/>
      <c r="L97" s="21">
        <v>41</v>
      </c>
      <c r="M97" s="23"/>
      <c r="N97" s="21">
        <v>55</v>
      </c>
      <c r="O97" s="14"/>
      <c r="P97" s="23"/>
      <c r="Q97" s="14"/>
      <c r="R97" s="21">
        <v>59</v>
      </c>
      <c r="S97" s="22"/>
      <c r="T97" s="23"/>
      <c r="U97" s="23"/>
      <c r="V97" s="14"/>
      <c r="W97" s="21"/>
      <c r="X97" s="14"/>
      <c r="Y97" s="14"/>
      <c r="Z97" s="14"/>
      <c r="AA97" s="21">
        <v>39</v>
      </c>
      <c r="AB97" s="32">
        <f t="shared" si="4"/>
        <v>418</v>
      </c>
      <c r="AC97" s="18"/>
      <c r="AD97" s="13">
        <f t="shared" si="5"/>
        <v>52.25</v>
      </c>
    </row>
    <row r="98" spans="1:30" x14ac:dyDescent="0.3">
      <c r="A98" s="7">
        <v>91</v>
      </c>
      <c r="B98" s="22" t="s">
        <v>69</v>
      </c>
      <c r="C98" s="21">
        <v>45</v>
      </c>
      <c r="D98" s="21">
        <v>69</v>
      </c>
      <c r="E98" s="21"/>
      <c r="F98" s="21">
        <v>50</v>
      </c>
      <c r="G98" s="14"/>
      <c r="H98" s="21">
        <v>55</v>
      </c>
      <c r="I98" s="14"/>
      <c r="J98" s="22"/>
      <c r="K98" s="14"/>
      <c r="L98" s="21">
        <v>39</v>
      </c>
      <c r="M98" s="21">
        <v>52</v>
      </c>
      <c r="N98" s="22"/>
      <c r="O98" s="23"/>
      <c r="P98" s="21"/>
      <c r="Q98" s="21"/>
      <c r="R98" s="22"/>
      <c r="S98" s="22"/>
      <c r="T98" s="14"/>
      <c r="U98" s="21">
        <v>62</v>
      </c>
      <c r="V98" s="22"/>
      <c r="W98" s="22"/>
      <c r="X98" s="21"/>
      <c r="Y98" s="22"/>
      <c r="Z98" s="21"/>
      <c r="AA98" s="21">
        <v>45</v>
      </c>
      <c r="AB98" s="32">
        <f t="shared" si="4"/>
        <v>417</v>
      </c>
      <c r="AC98" s="18"/>
      <c r="AD98" s="13">
        <f t="shared" si="5"/>
        <v>52.125</v>
      </c>
    </row>
    <row r="99" spans="1:30" x14ac:dyDescent="0.3">
      <c r="A99" s="7">
        <v>92</v>
      </c>
      <c r="B99" s="22" t="s">
        <v>77</v>
      </c>
      <c r="C99" s="21">
        <v>25</v>
      </c>
      <c r="D99" s="21">
        <v>81</v>
      </c>
      <c r="E99" s="21"/>
      <c r="F99" s="21">
        <v>45</v>
      </c>
      <c r="G99" s="14"/>
      <c r="H99" s="21">
        <v>36</v>
      </c>
      <c r="I99" s="14"/>
      <c r="J99" s="14"/>
      <c r="K99" s="14"/>
      <c r="L99" s="21">
        <v>62</v>
      </c>
      <c r="M99" s="21">
        <v>47</v>
      </c>
      <c r="N99" s="14"/>
      <c r="O99" s="21"/>
      <c r="P99" s="21"/>
      <c r="Q99" s="21"/>
      <c r="R99" s="14"/>
      <c r="S99" s="14"/>
      <c r="T99" s="14"/>
      <c r="U99" s="21">
        <v>55</v>
      </c>
      <c r="V99" s="14"/>
      <c r="W99" s="14"/>
      <c r="X99" s="14"/>
      <c r="Y99" s="14"/>
      <c r="Z99" s="21"/>
      <c r="AA99" s="21">
        <v>65</v>
      </c>
      <c r="AB99" s="32">
        <f t="shared" si="4"/>
        <v>416</v>
      </c>
      <c r="AC99" s="18"/>
      <c r="AD99" s="13">
        <f t="shared" si="5"/>
        <v>52</v>
      </c>
    </row>
    <row r="100" spans="1:30" x14ac:dyDescent="0.3">
      <c r="A100" s="7">
        <v>93</v>
      </c>
      <c r="B100" s="22" t="s">
        <v>105</v>
      </c>
      <c r="C100" s="21">
        <v>38</v>
      </c>
      <c r="D100" s="21">
        <v>62</v>
      </c>
      <c r="E100" s="14"/>
      <c r="F100" s="43"/>
      <c r="G100" s="21">
        <v>38</v>
      </c>
      <c r="H100" s="21">
        <v>39</v>
      </c>
      <c r="I100" s="14"/>
      <c r="J100" s="13"/>
      <c r="K100" s="14"/>
      <c r="L100" s="21">
        <v>58</v>
      </c>
      <c r="M100" s="21"/>
      <c r="N100" s="21">
        <v>45</v>
      </c>
      <c r="O100" s="13"/>
      <c r="P100" s="22"/>
      <c r="Q100" s="13"/>
      <c r="R100" s="21">
        <v>77</v>
      </c>
      <c r="S100" s="21"/>
      <c r="T100" s="21"/>
      <c r="U100" s="21"/>
      <c r="V100" s="13"/>
      <c r="W100" s="13"/>
      <c r="X100" s="13"/>
      <c r="Y100" s="13"/>
      <c r="Z100" s="13"/>
      <c r="AA100" s="21">
        <v>55</v>
      </c>
      <c r="AB100" s="32">
        <f t="shared" si="4"/>
        <v>412</v>
      </c>
      <c r="AC100" s="18"/>
      <c r="AD100" s="13">
        <f t="shared" si="5"/>
        <v>51.5</v>
      </c>
    </row>
    <row r="101" spans="1:30" x14ac:dyDescent="0.3">
      <c r="A101" s="7">
        <v>94</v>
      </c>
      <c r="B101" s="22" t="s">
        <v>90</v>
      </c>
      <c r="C101" s="21">
        <v>52</v>
      </c>
      <c r="D101" s="21">
        <v>69</v>
      </c>
      <c r="E101" s="21"/>
      <c r="F101" s="40"/>
      <c r="G101" s="21">
        <v>55</v>
      </c>
      <c r="H101" s="21">
        <v>54</v>
      </c>
      <c r="I101" s="14"/>
      <c r="J101" s="14"/>
      <c r="K101" s="22"/>
      <c r="L101" s="21">
        <v>38</v>
      </c>
      <c r="M101" s="21"/>
      <c r="N101" s="21">
        <v>44</v>
      </c>
      <c r="O101" s="21"/>
      <c r="P101" s="21"/>
      <c r="Q101" s="13"/>
      <c r="R101" s="21">
        <v>55</v>
      </c>
      <c r="S101" s="13"/>
      <c r="T101" s="22"/>
      <c r="U101" s="21"/>
      <c r="V101" s="14"/>
      <c r="W101" s="14"/>
      <c r="X101" s="21"/>
      <c r="Y101" s="14"/>
      <c r="Z101" s="21"/>
      <c r="AA101" s="21">
        <v>44</v>
      </c>
      <c r="AB101" s="32">
        <f t="shared" si="4"/>
        <v>411</v>
      </c>
      <c r="AC101" s="18"/>
      <c r="AD101" s="13">
        <f t="shared" si="5"/>
        <v>51.375</v>
      </c>
    </row>
    <row r="102" spans="1:30" x14ac:dyDescent="0.3">
      <c r="A102" s="7">
        <v>95</v>
      </c>
      <c r="B102" s="22" t="s">
        <v>96</v>
      </c>
      <c r="C102" s="21">
        <v>35</v>
      </c>
      <c r="D102" s="21">
        <v>55</v>
      </c>
      <c r="E102" s="21"/>
      <c r="F102" s="21"/>
      <c r="G102" s="21">
        <v>42</v>
      </c>
      <c r="H102" s="21">
        <v>50</v>
      </c>
      <c r="I102" s="14"/>
      <c r="J102" s="14"/>
      <c r="K102" s="22"/>
      <c r="L102" s="21">
        <v>55</v>
      </c>
      <c r="M102" s="21"/>
      <c r="N102" s="21">
        <v>50</v>
      </c>
      <c r="O102" s="21"/>
      <c r="P102" s="21"/>
      <c r="Q102" s="14"/>
      <c r="R102" s="21">
        <v>69</v>
      </c>
      <c r="S102" s="16"/>
      <c r="T102" s="22"/>
      <c r="U102" s="21"/>
      <c r="V102" s="14"/>
      <c r="W102" s="14"/>
      <c r="X102" s="14"/>
      <c r="Y102" s="14"/>
      <c r="Z102" s="21"/>
      <c r="AA102" s="21">
        <v>55</v>
      </c>
      <c r="AB102" s="32">
        <f t="shared" si="4"/>
        <v>411</v>
      </c>
      <c r="AC102" s="18"/>
      <c r="AD102" s="13">
        <f t="shared" si="5"/>
        <v>51.375</v>
      </c>
    </row>
    <row r="103" spans="1:30" x14ac:dyDescent="0.3">
      <c r="A103" s="7">
        <v>96</v>
      </c>
      <c r="B103" s="22" t="s">
        <v>98</v>
      </c>
      <c r="C103" s="21">
        <v>28</v>
      </c>
      <c r="D103" s="21">
        <v>66</v>
      </c>
      <c r="E103" s="14"/>
      <c r="F103" s="43"/>
      <c r="G103" s="21">
        <v>75</v>
      </c>
      <c r="H103" s="21">
        <v>60</v>
      </c>
      <c r="I103" s="21"/>
      <c r="J103" s="14"/>
      <c r="K103" s="21"/>
      <c r="L103" s="21">
        <v>39</v>
      </c>
      <c r="M103" s="21"/>
      <c r="N103" s="21">
        <v>38</v>
      </c>
      <c r="O103" s="14"/>
      <c r="P103" s="13"/>
      <c r="Q103" s="14"/>
      <c r="R103" s="21">
        <v>54</v>
      </c>
      <c r="S103" s="13"/>
      <c r="T103" s="13"/>
      <c r="U103" s="21"/>
      <c r="V103" s="14"/>
      <c r="W103" s="21"/>
      <c r="X103" s="14"/>
      <c r="Y103" s="14"/>
      <c r="Z103" s="14"/>
      <c r="AA103" s="21">
        <v>47</v>
      </c>
      <c r="AB103" s="32">
        <f t="shared" si="4"/>
        <v>407</v>
      </c>
      <c r="AC103" s="18"/>
      <c r="AD103" s="13">
        <f t="shared" si="5"/>
        <v>50.875</v>
      </c>
    </row>
    <row r="104" spans="1:30" x14ac:dyDescent="0.3">
      <c r="A104" s="7">
        <v>97</v>
      </c>
      <c r="B104" s="22" t="s">
        <v>135</v>
      </c>
      <c r="C104" s="21">
        <v>40</v>
      </c>
      <c r="D104" s="21">
        <v>71</v>
      </c>
      <c r="E104" s="21"/>
      <c r="F104" s="43"/>
      <c r="G104" s="22"/>
      <c r="H104" s="23"/>
      <c r="I104" s="14"/>
      <c r="J104" s="21">
        <v>41</v>
      </c>
      <c r="K104" s="22"/>
      <c r="L104" s="21">
        <v>40</v>
      </c>
      <c r="M104" s="21"/>
      <c r="N104" s="21">
        <v>52</v>
      </c>
      <c r="O104" s="21"/>
      <c r="P104" s="21"/>
      <c r="Q104" s="14"/>
      <c r="R104" s="22"/>
      <c r="S104" s="22"/>
      <c r="T104" s="23"/>
      <c r="U104" s="21"/>
      <c r="V104" s="14"/>
      <c r="W104" s="14"/>
      <c r="X104" s="21"/>
      <c r="Y104" s="21">
        <v>54</v>
      </c>
      <c r="Z104" s="21"/>
      <c r="AA104" s="21">
        <v>55</v>
      </c>
      <c r="AB104" s="32">
        <f t="shared" ref="AB104:AB125" si="6">SUM(C104:AA104)</f>
        <v>353</v>
      </c>
      <c r="AC104" s="18"/>
      <c r="AD104" s="13">
        <f t="shared" ref="AD104:AD125" si="7">AVERAGE(C104:AA104)</f>
        <v>50.428571428571431</v>
      </c>
    </row>
    <row r="105" spans="1:30" x14ac:dyDescent="0.3">
      <c r="A105" s="7">
        <v>98</v>
      </c>
      <c r="B105" s="22" t="s">
        <v>67</v>
      </c>
      <c r="C105" s="21">
        <v>69</v>
      </c>
      <c r="D105" s="21">
        <v>81</v>
      </c>
      <c r="E105" s="14"/>
      <c r="F105" s="21">
        <v>28</v>
      </c>
      <c r="G105" s="21"/>
      <c r="H105" s="21">
        <v>38</v>
      </c>
      <c r="I105" s="14"/>
      <c r="J105" s="22"/>
      <c r="K105" s="14"/>
      <c r="L105" s="21">
        <v>39</v>
      </c>
      <c r="M105" s="21">
        <v>35</v>
      </c>
      <c r="N105" s="21"/>
      <c r="O105" s="22"/>
      <c r="P105" s="22"/>
      <c r="Q105" s="22"/>
      <c r="R105" s="21"/>
      <c r="S105" s="21"/>
      <c r="T105" s="21"/>
      <c r="U105" s="21">
        <v>58</v>
      </c>
      <c r="V105" s="22"/>
      <c r="W105" s="22"/>
      <c r="X105" s="22"/>
      <c r="Y105" s="22"/>
      <c r="Z105" s="22"/>
      <c r="AA105" s="21">
        <v>55</v>
      </c>
      <c r="AB105" s="32">
        <f t="shared" si="6"/>
        <v>403</v>
      </c>
      <c r="AC105" s="18"/>
      <c r="AD105" s="13">
        <f t="shared" si="7"/>
        <v>50.375</v>
      </c>
    </row>
    <row r="106" spans="1:30" x14ac:dyDescent="0.3">
      <c r="A106" s="7">
        <v>99</v>
      </c>
      <c r="B106" s="22" t="s">
        <v>89</v>
      </c>
      <c r="C106" s="21">
        <v>28</v>
      </c>
      <c r="D106" s="21">
        <v>80</v>
      </c>
      <c r="E106" s="22"/>
      <c r="F106" s="42"/>
      <c r="G106" s="21">
        <v>39</v>
      </c>
      <c r="H106" s="21">
        <v>58</v>
      </c>
      <c r="I106" s="21"/>
      <c r="J106" s="22"/>
      <c r="K106" s="21"/>
      <c r="L106" s="21">
        <v>40</v>
      </c>
      <c r="M106" s="21"/>
      <c r="N106" s="21">
        <v>36</v>
      </c>
      <c r="O106" s="22"/>
      <c r="P106" s="14"/>
      <c r="Q106" s="22"/>
      <c r="R106" s="21">
        <v>71</v>
      </c>
      <c r="S106" s="21"/>
      <c r="T106" s="21"/>
      <c r="U106" s="14"/>
      <c r="V106" s="22"/>
      <c r="W106" s="21"/>
      <c r="X106" s="22"/>
      <c r="Y106" s="22"/>
      <c r="Z106" s="22"/>
      <c r="AA106" s="21">
        <v>45</v>
      </c>
      <c r="AB106" s="32">
        <f t="shared" si="6"/>
        <v>397</v>
      </c>
      <c r="AC106" s="18"/>
      <c r="AD106" s="13">
        <f t="shared" si="7"/>
        <v>49.625</v>
      </c>
    </row>
    <row r="107" spans="1:30" x14ac:dyDescent="0.3">
      <c r="A107" s="7">
        <v>100</v>
      </c>
      <c r="B107" s="22" t="s">
        <v>115</v>
      </c>
      <c r="C107" s="21">
        <v>28</v>
      </c>
      <c r="D107" s="21">
        <v>75</v>
      </c>
      <c r="E107" s="14"/>
      <c r="F107" s="42"/>
      <c r="G107" s="21"/>
      <c r="H107" s="21">
        <v>62</v>
      </c>
      <c r="I107" s="21"/>
      <c r="J107" s="22"/>
      <c r="K107" s="21"/>
      <c r="L107" s="21">
        <v>41</v>
      </c>
      <c r="M107" s="21">
        <v>42</v>
      </c>
      <c r="N107" s="21"/>
      <c r="O107" s="22"/>
      <c r="P107" s="14"/>
      <c r="Q107" s="22"/>
      <c r="R107" s="21"/>
      <c r="S107" s="21">
        <v>39</v>
      </c>
      <c r="T107" s="21">
        <v>58</v>
      </c>
      <c r="U107" s="14"/>
      <c r="V107" s="22"/>
      <c r="W107" s="21"/>
      <c r="X107" s="22"/>
      <c r="Y107" s="22"/>
      <c r="Z107" s="22"/>
      <c r="AA107" s="21">
        <v>52</v>
      </c>
      <c r="AB107" s="32">
        <f t="shared" si="6"/>
        <v>397</v>
      </c>
      <c r="AC107" s="18"/>
      <c r="AD107" s="13">
        <f t="shared" si="7"/>
        <v>49.625</v>
      </c>
    </row>
    <row r="108" spans="1:30" x14ac:dyDescent="0.3">
      <c r="A108" s="7">
        <v>101</v>
      </c>
      <c r="B108" s="22" t="s">
        <v>158</v>
      </c>
      <c r="C108" s="21">
        <v>28</v>
      </c>
      <c r="D108" s="21">
        <v>56</v>
      </c>
      <c r="E108" s="23"/>
      <c r="F108" s="21"/>
      <c r="G108" s="23"/>
      <c r="H108" s="21"/>
      <c r="I108" s="21">
        <v>51</v>
      </c>
      <c r="J108" s="21"/>
      <c r="K108" s="21">
        <v>53</v>
      </c>
      <c r="L108" s="21">
        <v>54</v>
      </c>
      <c r="M108" s="21"/>
      <c r="N108" s="21">
        <v>62</v>
      </c>
      <c r="O108" s="23"/>
      <c r="P108" s="23"/>
      <c r="Q108" s="23"/>
      <c r="R108" s="23"/>
      <c r="S108" s="23"/>
      <c r="T108" s="23"/>
      <c r="U108" s="21"/>
      <c r="V108" s="23"/>
      <c r="W108" s="21">
        <v>39</v>
      </c>
      <c r="X108" s="23"/>
      <c r="Y108" s="21"/>
      <c r="Z108" s="23"/>
      <c r="AA108" s="21">
        <v>53</v>
      </c>
      <c r="AB108" s="32">
        <f t="shared" si="6"/>
        <v>396</v>
      </c>
      <c r="AC108" s="18"/>
      <c r="AD108" s="13">
        <f t="shared" si="7"/>
        <v>49.5</v>
      </c>
    </row>
    <row r="109" spans="1:30" x14ac:dyDescent="0.3">
      <c r="A109" s="7">
        <v>102</v>
      </c>
      <c r="B109" s="22" t="s">
        <v>91</v>
      </c>
      <c r="C109" s="21">
        <v>28</v>
      </c>
      <c r="D109" s="21">
        <v>66</v>
      </c>
      <c r="E109" s="14"/>
      <c r="F109" s="43"/>
      <c r="G109" s="21">
        <v>51</v>
      </c>
      <c r="H109" s="21">
        <v>38</v>
      </c>
      <c r="I109" s="14"/>
      <c r="J109" s="22"/>
      <c r="K109" s="14"/>
      <c r="L109" s="21">
        <v>48</v>
      </c>
      <c r="M109" s="21"/>
      <c r="N109" s="21">
        <v>38</v>
      </c>
      <c r="O109" s="23"/>
      <c r="P109" s="23"/>
      <c r="Q109" s="23"/>
      <c r="R109" s="21">
        <v>69</v>
      </c>
      <c r="S109" s="21"/>
      <c r="T109" s="21"/>
      <c r="U109" s="23"/>
      <c r="V109" s="22"/>
      <c r="W109" s="22"/>
      <c r="X109" s="22"/>
      <c r="Y109" s="22"/>
      <c r="Z109" s="22"/>
      <c r="AA109" s="21">
        <v>55</v>
      </c>
      <c r="AB109" s="32">
        <f t="shared" si="6"/>
        <v>393</v>
      </c>
      <c r="AC109" s="18"/>
      <c r="AD109" s="13">
        <f t="shared" si="7"/>
        <v>49.125</v>
      </c>
    </row>
    <row r="110" spans="1:30" x14ac:dyDescent="0.3">
      <c r="A110" s="7">
        <v>103</v>
      </c>
      <c r="B110" s="22" t="s">
        <v>70</v>
      </c>
      <c r="C110" s="21">
        <v>35</v>
      </c>
      <c r="D110" s="21">
        <v>77</v>
      </c>
      <c r="E110" s="21"/>
      <c r="F110" s="21">
        <v>38</v>
      </c>
      <c r="G110" s="23"/>
      <c r="H110" s="21">
        <v>52</v>
      </c>
      <c r="I110" s="23"/>
      <c r="J110" s="23"/>
      <c r="K110" s="23"/>
      <c r="L110" s="21">
        <v>45</v>
      </c>
      <c r="M110" s="21">
        <v>48</v>
      </c>
      <c r="N110" s="23"/>
      <c r="O110" s="21"/>
      <c r="P110" s="21"/>
      <c r="Q110" s="23"/>
      <c r="R110" s="23"/>
      <c r="S110" s="23"/>
      <c r="T110" s="23"/>
      <c r="U110" s="21">
        <v>39</v>
      </c>
      <c r="V110" s="21"/>
      <c r="W110" s="21"/>
      <c r="X110" s="23"/>
      <c r="Y110" s="23"/>
      <c r="Z110" s="21"/>
      <c r="AA110" s="21">
        <v>58</v>
      </c>
      <c r="AB110" s="32">
        <f t="shared" si="6"/>
        <v>392</v>
      </c>
      <c r="AC110" s="18"/>
      <c r="AD110" s="13">
        <f t="shared" si="7"/>
        <v>49</v>
      </c>
    </row>
    <row r="111" spans="1:30" x14ac:dyDescent="0.3">
      <c r="A111" s="7">
        <v>104</v>
      </c>
      <c r="B111" s="22" t="s">
        <v>121</v>
      </c>
      <c r="C111" s="21">
        <v>40</v>
      </c>
      <c r="D111" s="21">
        <v>66</v>
      </c>
      <c r="E111" s="21"/>
      <c r="F111" s="42"/>
      <c r="G111" s="23"/>
      <c r="H111" s="21">
        <v>45</v>
      </c>
      <c r="I111" s="14"/>
      <c r="J111" s="14"/>
      <c r="K111" s="23"/>
      <c r="L111" s="21">
        <v>28</v>
      </c>
      <c r="M111" s="21">
        <v>52</v>
      </c>
      <c r="N111" s="23"/>
      <c r="O111" s="21"/>
      <c r="P111" s="21"/>
      <c r="Q111" s="14"/>
      <c r="R111" s="23"/>
      <c r="S111" s="21">
        <v>45</v>
      </c>
      <c r="T111" s="21">
        <v>77</v>
      </c>
      <c r="U111" s="23"/>
      <c r="V111" s="14"/>
      <c r="W111" s="14"/>
      <c r="X111" s="14"/>
      <c r="Y111" s="14"/>
      <c r="Z111" s="21"/>
      <c r="AA111" s="21">
        <v>39</v>
      </c>
      <c r="AB111" s="32">
        <f t="shared" si="6"/>
        <v>392</v>
      </c>
      <c r="AC111" s="18"/>
      <c r="AD111" s="13">
        <f t="shared" si="7"/>
        <v>49</v>
      </c>
    </row>
    <row r="112" spans="1:30" x14ac:dyDescent="0.3">
      <c r="A112" s="7">
        <v>105</v>
      </c>
      <c r="B112" s="22" t="s">
        <v>120</v>
      </c>
      <c r="C112" s="21">
        <v>25</v>
      </c>
      <c r="D112" s="21">
        <v>58</v>
      </c>
      <c r="E112" s="22"/>
      <c r="F112" s="43"/>
      <c r="G112" s="21"/>
      <c r="H112" s="21">
        <v>51</v>
      </c>
      <c r="I112" s="14"/>
      <c r="J112" s="22"/>
      <c r="K112" s="14"/>
      <c r="L112" s="21">
        <v>49</v>
      </c>
      <c r="M112" s="21">
        <v>38</v>
      </c>
      <c r="N112" s="21"/>
      <c r="O112" s="23"/>
      <c r="P112" s="14"/>
      <c r="Q112" s="23"/>
      <c r="R112" s="21"/>
      <c r="S112" s="21">
        <v>65</v>
      </c>
      <c r="T112" s="21">
        <v>54</v>
      </c>
      <c r="U112" s="14"/>
      <c r="V112" s="22"/>
      <c r="W112" s="22"/>
      <c r="X112" s="22"/>
      <c r="Y112" s="22"/>
      <c r="Z112" s="22"/>
      <c r="AA112" s="21">
        <v>52</v>
      </c>
      <c r="AB112" s="32">
        <f t="shared" si="6"/>
        <v>392</v>
      </c>
      <c r="AC112" s="18"/>
      <c r="AD112" s="13">
        <f t="shared" si="7"/>
        <v>49</v>
      </c>
    </row>
    <row r="113" spans="1:30" x14ac:dyDescent="0.3">
      <c r="A113" s="7">
        <v>106</v>
      </c>
      <c r="B113" s="22" t="s">
        <v>152</v>
      </c>
      <c r="C113" s="21">
        <v>45</v>
      </c>
      <c r="D113" s="21">
        <v>54</v>
      </c>
      <c r="E113" s="23"/>
      <c r="F113" s="43"/>
      <c r="G113" s="21"/>
      <c r="H113" s="21"/>
      <c r="I113" s="21">
        <v>55</v>
      </c>
      <c r="J113" s="23"/>
      <c r="K113" s="21">
        <v>41</v>
      </c>
      <c r="L113" s="21">
        <v>41</v>
      </c>
      <c r="M113" s="21"/>
      <c r="N113" s="21">
        <v>45</v>
      </c>
      <c r="O113" s="23"/>
      <c r="P113" s="23"/>
      <c r="Q113" s="23"/>
      <c r="R113" s="21"/>
      <c r="S113" s="21"/>
      <c r="T113" s="21"/>
      <c r="U113" s="23"/>
      <c r="V113" s="23"/>
      <c r="W113" s="21">
        <v>62</v>
      </c>
      <c r="X113" s="23"/>
      <c r="Y113" s="23"/>
      <c r="Z113" s="23"/>
      <c r="AA113" s="21">
        <v>47</v>
      </c>
      <c r="AB113" s="32">
        <f t="shared" si="6"/>
        <v>390</v>
      </c>
      <c r="AC113" s="18"/>
      <c r="AD113" s="13">
        <f t="shared" si="7"/>
        <v>48.75</v>
      </c>
    </row>
    <row r="114" spans="1:30" x14ac:dyDescent="0.3">
      <c r="A114" s="7">
        <v>107</v>
      </c>
      <c r="B114" s="22" t="s">
        <v>100</v>
      </c>
      <c r="C114" s="21">
        <v>41</v>
      </c>
      <c r="D114" s="21">
        <v>62</v>
      </c>
      <c r="E114" s="21"/>
      <c r="F114" s="21"/>
      <c r="G114" s="21">
        <v>50</v>
      </c>
      <c r="H114" s="21">
        <v>48</v>
      </c>
      <c r="I114" s="14"/>
      <c r="J114" s="14"/>
      <c r="K114" s="22"/>
      <c r="L114" s="21">
        <v>45</v>
      </c>
      <c r="M114" s="21"/>
      <c r="N114" s="21">
        <v>42</v>
      </c>
      <c r="O114" s="21"/>
      <c r="P114" s="21"/>
      <c r="Q114" s="17"/>
      <c r="R114" s="21">
        <v>71</v>
      </c>
      <c r="S114" s="22"/>
      <c r="T114" s="17"/>
      <c r="U114" s="21"/>
      <c r="V114" s="14"/>
      <c r="W114" s="14"/>
      <c r="X114" s="14"/>
      <c r="Y114" s="14"/>
      <c r="Z114" s="21"/>
      <c r="AA114" s="21">
        <v>28</v>
      </c>
      <c r="AB114" s="32">
        <f t="shared" si="6"/>
        <v>387</v>
      </c>
      <c r="AC114" s="18"/>
      <c r="AD114" s="13">
        <f t="shared" si="7"/>
        <v>48.375</v>
      </c>
    </row>
    <row r="115" spans="1:30" x14ac:dyDescent="0.3">
      <c r="A115" s="7">
        <v>108</v>
      </c>
      <c r="B115" s="22" t="s">
        <v>58</v>
      </c>
      <c r="C115" s="21">
        <v>53</v>
      </c>
      <c r="D115" s="21">
        <v>79</v>
      </c>
      <c r="E115" s="21">
        <v>39</v>
      </c>
      <c r="F115" s="40"/>
      <c r="G115" s="14"/>
      <c r="H115" s="21"/>
      <c r="I115" s="21"/>
      <c r="J115" s="22"/>
      <c r="K115" s="21"/>
      <c r="L115" s="21">
        <v>39</v>
      </c>
      <c r="M115" s="21">
        <v>45</v>
      </c>
      <c r="N115" s="21"/>
      <c r="O115" s="22"/>
      <c r="P115" s="14"/>
      <c r="Q115" s="22"/>
      <c r="R115" s="14"/>
      <c r="S115" s="21"/>
      <c r="T115" s="21"/>
      <c r="U115" s="21">
        <v>39</v>
      </c>
      <c r="V115" s="22"/>
      <c r="W115" s="21"/>
      <c r="X115" s="21">
        <v>53</v>
      </c>
      <c r="Y115" s="22"/>
      <c r="Z115" s="21">
        <v>39</v>
      </c>
      <c r="AA115" s="21"/>
      <c r="AB115" s="32">
        <f t="shared" si="6"/>
        <v>386</v>
      </c>
      <c r="AC115" s="18"/>
      <c r="AD115" s="13">
        <f t="shared" si="7"/>
        <v>48.25</v>
      </c>
    </row>
    <row r="116" spans="1:30" x14ac:dyDescent="0.3">
      <c r="A116" s="7">
        <v>109</v>
      </c>
      <c r="B116" s="22" t="s">
        <v>94</v>
      </c>
      <c r="C116" s="21">
        <v>33</v>
      </c>
      <c r="D116" s="21">
        <v>62</v>
      </c>
      <c r="E116" s="21"/>
      <c r="F116" s="40"/>
      <c r="G116" s="21">
        <v>42</v>
      </c>
      <c r="H116" s="21">
        <v>38</v>
      </c>
      <c r="I116" s="14"/>
      <c r="J116" s="22"/>
      <c r="K116" s="14"/>
      <c r="L116" s="21">
        <v>43</v>
      </c>
      <c r="M116" s="21"/>
      <c r="N116" s="21">
        <v>45</v>
      </c>
      <c r="O116" s="21"/>
      <c r="P116" s="21"/>
      <c r="Q116" s="22"/>
      <c r="R116" s="21">
        <v>56</v>
      </c>
      <c r="S116" s="14"/>
      <c r="T116" s="14"/>
      <c r="U116" s="21"/>
      <c r="V116" s="22"/>
      <c r="W116" s="22"/>
      <c r="X116" s="21"/>
      <c r="Y116" s="22"/>
      <c r="Z116" s="21"/>
      <c r="AA116" s="21">
        <v>62</v>
      </c>
      <c r="AB116" s="32">
        <f t="shared" si="6"/>
        <v>381</v>
      </c>
      <c r="AC116" s="18"/>
      <c r="AD116" s="13">
        <f t="shared" si="7"/>
        <v>47.625</v>
      </c>
    </row>
    <row r="117" spans="1:30" x14ac:dyDescent="0.3">
      <c r="A117" s="7">
        <v>110</v>
      </c>
      <c r="B117" s="22" t="s">
        <v>84</v>
      </c>
      <c r="C117" s="21">
        <v>28</v>
      </c>
      <c r="D117" s="21">
        <v>53</v>
      </c>
      <c r="E117" s="22"/>
      <c r="F117" s="40"/>
      <c r="G117" s="21">
        <v>39</v>
      </c>
      <c r="H117" s="21">
        <v>71</v>
      </c>
      <c r="I117" s="21"/>
      <c r="J117" s="22"/>
      <c r="K117" s="21"/>
      <c r="L117" s="21">
        <v>52</v>
      </c>
      <c r="M117" s="14"/>
      <c r="N117" s="21">
        <v>29</v>
      </c>
      <c r="O117" s="22"/>
      <c r="P117" s="14"/>
      <c r="Q117" s="22"/>
      <c r="R117" s="21">
        <v>65</v>
      </c>
      <c r="S117" s="14"/>
      <c r="T117" s="14"/>
      <c r="U117" s="14"/>
      <c r="V117" s="22"/>
      <c r="W117" s="21"/>
      <c r="X117" s="22"/>
      <c r="Y117" s="22"/>
      <c r="Z117" s="22"/>
      <c r="AA117" s="21">
        <v>44</v>
      </c>
      <c r="AB117" s="32">
        <f t="shared" si="6"/>
        <v>381</v>
      </c>
      <c r="AC117" s="18"/>
      <c r="AD117" s="13">
        <f t="shared" si="7"/>
        <v>47.625</v>
      </c>
    </row>
    <row r="118" spans="1:30" x14ac:dyDescent="0.3">
      <c r="A118" s="7">
        <v>111</v>
      </c>
      <c r="B118" s="22" t="s">
        <v>103</v>
      </c>
      <c r="C118" s="21">
        <v>38</v>
      </c>
      <c r="D118" s="21">
        <v>71</v>
      </c>
      <c r="E118" s="22"/>
      <c r="F118" s="43"/>
      <c r="G118" s="21">
        <v>52</v>
      </c>
      <c r="H118" s="21">
        <v>55</v>
      </c>
      <c r="I118" s="14"/>
      <c r="J118" s="14"/>
      <c r="K118" s="22"/>
      <c r="L118" s="21">
        <v>32</v>
      </c>
      <c r="M118" s="21"/>
      <c r="N118" s="21">
        <v>33</v>
      </c>
      <c r="O118" s="14"/>
      <c r="P118" s="13"/>
      <c r="Q118" s="13"/>
      <c r="R118" s="21">
        <v>47</v>
      </c>
      <c r="S118" s="21"/>
      <c r="T118" s="21"/>
      <c r="U118" s="21"/>
      <c r="V118" s="14"/>
      <c r="W118" s="14"/>
      <c r="X118" s="14"/>
      <c r="Y118" s="14"/>
      <c r="Z118" s="14"/>
      <c r="AA118" s="21">
        <v>52</v>
      </c>
      <c r="AB118" s="32">
        <f t="shared" si="6"/>
        <v>380</v>
      </c>
      <c r="AC118" s="18"/>
      <c r="AD118" s="13">
        <f t="shared" si="7"/>
        <v>47.5</v>
      </c>
    </row>
    <row r="119" spans="1:30" x14ac:dyDescent="0.3">
      <c r="A119" s="7">
        <v>112</v>
      </c>
      <c r="B119" s="22" t="s">
        <v>147</v>
      </c>
      <c r="C119" s="21">
        <v>25</v>
      </c>
      <c r="D119" s="21">
        <v>71</v>
      </c>
      <c r="E119" s="22"/>
      <c r="F119" s="42"/>
      <c r="G119" s="21"/>
      <c r="H119" s="21"/>
      <c r="I119" s="21">
        <v>50</v>
      </c>
      <c r="J119" s="22"/>
      <c r="K119" s="21">
        <v>55</v>
      </c>
      <c r="L119" s="21">
        <v>39</v>
      </c>
      <c r="M119" s="21"/>
      <c r="N119" s="21">
        <v>38</v>
      </c>
      <c r="O119" s="22"/>
      <c r="P119" s="14"/>
      <c r="Q119" s="22"/>
      <c r="R119" s="21"/>
      <c r="S119" s="21"/>
      <c r="T119" s="21"/>
      <c r="U119" s="14"/>
      <c r="V119" s="22"/>
      <c r="W119" s="21">
        <v>47</v>
      </c>
      <c r="X119" s="22"/>
      <c r="Y119" s="22"/>
      <c r="Z119" s="22"/>
      <c r="AA119" s="21">
        <v>55</v>
      </c>
      <c r="AB119" s="32">
        <f t="shared" si="6"/>
        <v>380</v>
      </c>
      <c r="AC119" s="18"/>
      <c r="AD119" s="13">
        <f t="shared" si="7"/>
        <v>47.5</v>
      </c>
    </row>
    <row r="120" spans="1:30" x14ac:dyDescent="0.3">
      <c r="A120" s="7">
        <v>113</v>
      </c>
      <c r="B120" s="22" t="s">
        <v>73</v>
      </c>
      <c r="C120" s="21">
        <v>54</v>
      </c>
      <c r="D120" s="21">
        <v>53</v>
      </c>
      <c r="E120" s="21"/>
      <c r="F120" s="21">
        <v>42</v>
      </c>
      <c r="G120" s="22"/>
      <c r="H120" s="21">
        <v>28</v>
      </c>
      <c r="I120" s="14"/>
      <c r="J120" s="14"/>
      <c r="K120" s="22"/>
      <c r="L120" s="21">
        <v>53</v>
      </c>
      <c r="M120" s="21">
        <v>54</v>
      </c>
      <c r="N120" s="23"/>
      <c r="O120" s="21"/>
      <c r="P120" s="21"/>
      <c r="Q120" s="21"/>
      <c r="R120" s="23"/>
      <c r="S120" s="22"/>
      <c r="T120" s="22"/>
      <c r="U120" s="21">
        <v>38</v>
      </c>
      <c r="V120" s="14"/>
      <c r="W120" s="14"/>
      <c r="X120" s="14"/>
      <c r="Y120" s="14"/>
      <c r="Z120" s="21"/>
      <c r="AA120" s="21">
        <v>56</v>
      </c>
      <c r="AB120" s="32">
        <f t="shared" si="6"/>
        <v>378</v>
      </c>
      <c r="AC120" s="18"/>
      <c r="AD120" s="13">
        <f t="shared" si="7"/>
        <v>47.25</v>
      </c>
    </row>
    <row r="121" spans="1:30" s="24" customFormat="1" ht="15" customHeight="1" x14ac:dyDescent="0.2">
      <c r="A121" s="7">
        <v>114</v>
      </c>
      <c r="B121" s="22" t="s">
        <v>79</v>
      </c>
      <c r="C121" s="21">
        <v>38</v>
      </c>
      <c r="D121" s="21">
        <v>69</v>
      </c>
      <c r="E121" s="21"/>
      <c r="F121" s="21">
        <v>44</v>
      </c>
      <c r="G121" s="22"/>
      <c r="H121" s="21">
        <v>36</v>
      </c>
      <c r="I121" s="14"/>
      <c r="J121" s="14"/>
      <c r="K121" s="22"/>
      <c r="L121" s="21">
        <v>55</v>
      </c>
      <c r="M121" s="21">
        <v>45</v>
      </c>
      <c r="N121" s="23"/>
      <c r="O121" s="21"/>
      <c r="P121" s="21"/>
      <c r="Q121" s="23"/>
      <c r="R121" s="23"/>
      <c r="S121" s="14"/>
      <c r="T121" s="22"/>
      <c r="U121" s="21">
        <v>28</v>
      </c>
      <c r="V121" s="22"/>
      <c r="W121" s="22"/>
      <c r="X121" s="21"/>
      <c r="Y121" s="22"/>
      <c r="Z121" s="21"/>
      <c r="AA121" s="21">
        <v>52</v>
      </c>
      <c r="AB121" s="32">
        <f t="shared" si="6"/>
        <v>367</v>
      </c>
      <c r="AC121" s="18"/>
      <c r="AD121" s="13">
        <f t="shared" si="7"/>
        <v>45.875</v>
      </c>
    </row>
    <row r="122" spans="1:30" x14ac:dyDescent="0.3">
      <c r="A122" s="7">
        <v>115</v>
      </c>
      <c r="B122" s="22" t="s">
        <v>74</v>
      </c>
      <c r="C122" s="21">
        <v>38</v>
      </c>
      <c r="D122" s="21">
        <v>62</v>
      </c>
      <c r="E122" s="21"/>
      <c r="F122" s="21">
        <v>38</v>
      </c>
      <c r="G122" s="21"/>
      <c r="H122" s="21">
        <v>45</v>
      </c>
      <c r="I122" s="14"/>
      <c r="J122" s="22"/>
      <c r="K122" s="14"/>
      <c r="L122" s="21">
        <v>39</v>
      </c>
      <c r="M122" s="21">
        <v>36</v>
      </c>
      <c r="N122" s="21"/>
      <c r="O122" s="13"/>
      <c r="P122" s="13"/>
      <c r="Q122" s="13"/>
      <c r="R122" s="21"/>
      <c r="S122" s="22"/>
      <c r="T122" s="13"/>
      <c r="U122" s="21">
        <v>52</v>
      </c>
      <c r="V122" s="22"/>
      <c r="W122" s="22"/>
      <c r="X122" s="21"/>
      <c r="Y122" s="22"/>
      <c r="Z122" s="21"/>
      <c r="AA122" s="21">
        <v>55</v>
      </c>
      <c r="AB122" s="32">
        <f t="shared" si="6"/>
        <v>365</v>
      </c>
      <c r="AC122" s="18"/>
      <c r="AD122" s="13">
        <f t="shared" si="7"/>
        <v>45.625</v>
      </c>
    </row>
    <row r="123" spans="1:30" x14ac:dyDescent="0.3">
      <c r="A123" s="7">
        <v>116</v>
      </c>
      <c r="B123" s="22" t="s">
        <v>75</v>
      </c>
      <c r="C123" s="21">
        <v>33</v>
      </c>
      <c r="D123" s="21">
        <v>77</v>
      </c>
      <c r="E123" s="23"/>
      <c r="F123" s="21">
        <v>40</v>
      </c>
      <c r="G123" s="23"/>
      <c r="H123" s="21">
        <v>58</v>
      </c>
      <c r="I123" s="21"/>
      <c r="J123" s="23"/>
      <c r="K123" s="21"/>
      <c r="L123" s="21">
        <v>28</v>
      </c>
      <c r="M123" s="21">
        <v>34</v>
      </c>
      <c r="N123" s="21"/>
      <c r="O123" s="23"/>
      <c r="P123" s="23"/>
      <c r="Q123" s="23"/>
      <c r="R123" s="23"/>
      <c r="S123" s="21"/>
      <c r="T123" s="21"/>
      <c r="U123" s="21">
        <v>45</v>
      </c>
      <c r="V123" s="23"/>
      <c r="W123" s="21"/>
      <c r="X123" s="23"/>
      <c r="Y123" s="23"/>
      <c r="Z123" s="23"/>
      <c r="AA123" s="21">
        <v>45</v>
      </c>
      <c r="AB123" s="32">
        <f t="shared" si="6"/>
        <v>360</v>
      </c>
      <c r="AC123" s="18"/>
      <c r="AD123" s="13">
        <f t="shared" si="7"/>
        <v>45</v>
      </c>
    </row>
    <row r="124" spans="1:30" x14ac:dyDescent="0.3">
      <c r="A124" s="7">
        <v>117</v>
      </c>
      <c r="B124" s="22" t="s">
        <v>95</v>
      </c>
      <c r="C124" s="21">
        <v>22</v>
      </c>
      <c r="D124" s="21">
        <v>58</v>
      </c>
      <c r="E124" s="14"/>
      <c r="F124" s="42"/>
      <c r="G124" s="21">
        <v>55</v>
      </c>
      <c r="H124" s="21">
        <v>45</v>
      </c>
      <c r="I124" s="14"/>
      <c r="J124" s="14"/>
      <c r="K124" s="14"/>
      <c r="L124" s="21">
        <v>33</v>
      </c>
      <c r="M124" s="21"/>
      <c r="N124" s="21">
        <v>44</v>
      </c>
      <c r="O124" s="22"/>
      <c r="P124" s="14"/>
      <c r="Q124" s="22"/>
      <c r="R124" s="21">
        <v>54</v>
      </c>
      <c r="S124" s="21"/>
      <c r="T124" s="21"/>
      <c r="U124" s="14"/>
      <c r="V124" s="14"/>
      <c r="W124" s="14"/>
      <c r="X124" s="14"/>
      <c r="Y124" s="14"/>
      <c r="Z124" s="14"/>
      <c r="AA124" s="21">
        <v>48</v>
      </c>
      <c r="AB124" s="32">
        <f t="shared" si="6"/>
        <v>359</v>
      </c>
      <c r="AC124" s="18"/>
      <c r="AD124" s="13">
        <f t="shared" si="7"/>
        <v>44.875</v>
      </c>
    </row>
    <row r="125" spans="1:30" x14ac:dyDescent="0.3">
      <c r="A125" s="7">
        <v>118</v>
      </c>
      <c r="B125" s="22" t="s">
        <v>68</v>
      </c>
      <c r="C125" s="21">
        <v>42</v>
      </c>
      <c r="D125" s="21">
        <v>58</v>
      </c>
      <c r="E125" s="21"/>
      <c r="F125" s="21">
        <v>35</v>
      </c>
      <c r="G125" s="14"/>
      <c r="H125" s="21">
        <v>62</v>
      </c>
      <c r="I125" s="14"/>
      <c r="J125" s="14"/>
      <c r="K125" s="14"/>
      <c r="L125" s="21">
        <v>41</v>
      </c>
      <c r="M125" s="21">
        <v>33</v>
      </c>
      <c r="N125" s="14"/>
      <c r="O125" s="14"/>
      <c r="P125" s="14"/>
      <c r="Q125" s="22"/>
      <c r="R125" s="14"/>
      <c r="S125" s="14"/>
      <c r="T125" s="14"/>
      <c r="U125" s="21">
        <v>33</v>
      </c>
      <c r="V125" s="14"/>
      <c r="W125" s="14"/>
      <c r="X125" s="21"/>
      <c r="Y125" s="14"/>
      <c r="Z125" s="21"/>
      <c r="AA125" s="21">
        <v>38</v>
      </c>
      <c r="AB125" s="32">
        <f t="shared" si="6"/>
        <v>342</v>
      </c>
      <c r="AC125" s="18"/>
      <c r="AD125" s="13">
        <f t="shared" si="7"/>
        <v>42.75</v>
      </c>
    </row>
    <row r="126" spans="1:30" x14ac:dyDescent="0.3">
      <c r="AB126" s="32"/>
      <c r="AC126" s="18"/>
      <c r="AD126" s="13"/>
    </row>
    <row r="127" spans="1:30" x14ac:dyDescent="0.3">
      <c r="A127" s="24"/>
      <c r="C127" s="24">
        <f t="shared" ref="C127:AA127" si="8">AVERAGE(C8:C125)</f>
        <v>56.237288135593218</v>
      </c>
      <c r="D127" s="24">
        <f t="shared" si="8"/>
        <v>78.66101694915254</v>
      </c>
      <c r="E127" s="24">
        <f t="shared" si="8"/>
        <v>74.742857142857147</v>
      </c>
      <c r="F127" s="35">
        <f t="shared" si="8"/>
        <v>57.166666666666664</v>
      </c>
      <c r="G127" s="24">
        <f t="shared" si="8"/>
        <v>57.916666666666664</v>
      </c>
      <c r="H127" s="24">
        <f t="shared" si="8"/>
        <v>59.982758620689658</v>
      </c>
      <c r="I127" s="24">
        <f t="shared" si="8"/>
        <v>69.25</v>
      </c>
      <c r="J127" s="24">
        <f t="shared" si="8"/>
        <v>65.571428571428569</v>
      </c>
      <c r="K127" s="24">
        <f t="shared" si="8"/>
        <v>66.8125</v>
      </c>
      <c r="L127" s="24">
        <f t="shared" si="8"/>
        <v>59.720338983050844</v>
      </c>
      <c r="M127" s="24">
        <f t="shared" si="8"/>
        <v>64.704225352112672</v>
      </c>
      <c r="N127" s="24">
        <f t="shared" si="8"/>
        <v>58.723404255319146</v>
      </c>
      <c r="O127" s="24">
        <f t="shared" si="8"/>
        <v>71.75</v>
      </c>
      <c r="P127" s="24">
        <f t="shared" si="8"/>
        <v>71.125</v>
      </c>
      <c r="Q127" s="24">
        <f t="shared" si="8"/>
        <v>77.25</v>
      </c>
      <c r="R127" s="24">
        <f t="shared" si="8"/>
        <v>65.375</v>
      </c>
      <c r="S127" s="24">
        <f t="shared" si="8"/>
        <v>61.5</v>
      </c>
      <c r="T127" s="24">
        <f t="shared" si="8"/>
        <v>70.166666666666671</v>
      </c>
      <c r="U127" s="24">
        <f t="shared" si="8"/>
        <v>61.324324324324323</v>
      </c>
      <c r="V127" s="24">
        <f t="shared" si="8"/>
        <v>86</v>
      </c>
      <c r="W127" s="24">
        <f t="shared" si="8"/>
        <v>68.0625</v>
      </c>
      <c r="X127" s="24">
        <f t="shared" si="8"/>
        <v>73.15384615384616</v>
      </c>
      <c r="Y127" s="24">
        <f t="shared" si="8"/>
        <v>61.714285714285715</v>
      </c>
      <c r="Z127" s="24">
        <f t="shared" si="8"/>
        <v>71.186046511627907</v>
      </c>
      <c r="AA127" s="24">
        <f t="shared" si="8"/>
        <v>63.670329670329672</v>
      </c>
      <c r="AB127" s="32">
        <f>SUM(C127:AA127)</f>
        <v>1671.7671503846177</v>
      </c>
      <c r="AC127" s="18"/>
      <c r="AD127" s="13">
        <f>AVERAGE(C127:AA127)</f>
        <v>66.870686015384706</v>
      </c>
    </row>
  </sheetData>
  <sortState ref="B8:AD125">
    <sortCondition descending="1" ref="AD125"/>
  </sortState>
  <mergeCells count="5">
    <mergeCell ref="A1:D5"/>
    <mergeCell ref="E1:AD1"/>
    <mergeCell ref="E2:AD2"/>
    <mergeCell ref="E3:AD3"/>
    <mergeCell ref="E4:AD4"/>
  </mergeCells>
  <printOptions gridLine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"/>
  <sheetViews>
    <sheetView topLeftCell="A3" workbookViewId="0">
      <selection activeCell="E3" sqref="E3:AD3"/>
    </sheetView>
  </sheetViews>
  <sheetFormatPr defaultRowHeight="14.4" x14ac:dyDescent="0.3"/>
  <cols>
    <col min="1" max="1" width="2.5546875" style="19" customWidth="1"/>
    <col min="2" max="2" width="10.6640625" style="24" customWidth="1"/>
    <col min="3" max="27" width="2.6640625" style="24" customWidth="1"/>
    <col min="28" max="28" width="4.33203125" style="33" customWidth="1"/>
    <col min="29" max="29" width="0.6640625" customWidth="1"/>
    <col min="30" max="30" width="3.88671875" style="24" customWidth="1"/>
  </cols>
  <sheetData>
    <row r="1" spans="1:30" x14ac:dyDescent="0.3">
      <c r="A1" s="67" t="s">
        <v>177</v>
      </c>
      <c r="B1" s="67"/>
      <c r="C1" s="67"/>
      <c r="D1" s="67"/>
      <c r="E1" s="66" t="s">
        <v>162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67"/>
      <c r="B2" s="67"/>
      <c r="C2" s="67"/>
      <c r="D2" s="67"/>
      <c r="E2" s="66" t="s">
        <v>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x14ac:dyDescent="0.3">
      <c r="A3" s="67"/>
      <c r="B3" s="67"/>
      <c r="C3" s="67"/>
      <c r="D3" s="67"/>
      <c r="E3" s="66" t="s">
        <v>181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0" x14ac:dyDescent="0.3">
      <c r="A4" s="67"/>
      <c r="B4" s="67"/>
      <c r="C4" s="67"/>
      <c r="D4" s="67"/>
      <c r="E4" s="66" t="s">
        <v>176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0" x14ac:dyDescent="0.3">
      <c r="A5" s="67"/>
      <c r="B5" s="67"/>
      <c r="C5" s="67"/>
      <c r="D5" s="67"/>
      <c r="N5" s="38"/>
      <c r="O5" s="17"/>
      <c r="AB5" s="30"/>
      <c r="AC5" s="11"/>
      <c r="AD5" s="28"/>
    </row>
    <row r="6" spans="1:30" ht="123.6" x14ac:dyDescent="0.3">
      <c r="A6" s="20" t="s">
        <v>171</v>
      </c>
      <c r="B6" s="34" t="s">
        <v>172</v>
      </c>
      <c r="C6" s="39" t="s">
        <v>3</v>
      </c>
      <c r="D6" s="39" t="s">
        <v>19</v>
      </c>
      <c r="E6" s="39" t="s">
        <v>163</v>
      </c>
      <c r="F6" s="39" t="s">
        <v>20</v>
      </c>
      <c r="G6" s="39" t="s">
        <v>174</v>
      </c>
      <c r="H6" s="39" t="s">
        <v>168</v>
      </c>
      <c r="I6" s="39" t="s">
        <v>159</v>
      </c>
      <c r="J6" s="39" t="s">
        <v>140</v>
      </c>
      <c r="K6" s="39" t="s">
        <v>160</v>
      </c>
      <c r="L6" s="39" t="s">
        <v>21</v>
      </c>
      <c r="M6" s="39" t="s">
        <v>22</v>
      </c>
      <c r="N6" s="39" t="s">
        <v>169</v>
      </c>
      <c r="O6" s="39" t="s">
        <v>46</v>
      </c>
      <c r="P6" s="39" t="s">
        <v>23</v>
      </c>
      <c r="Q6" s="39" t="s">
        <v>24</v>
      </c>
      <c r="R6" s="39" t="s">
        <v>109</v>
      </c>
      <c r="S6" s="39" t="s">
        <v>123</v>
      </c>
      <c r="T6" s="39" t="s">
        <v>124</v>
      </c>
      <c r="U6" s="39" t="s">
        <v>173</v>
      </c>
      <c r="V6" s="39" t="s">
        <v>131</v>
      </c>
      <c r="W6" s="39" t="s">
        <v>179</v>
      </c>
      <c r="X6" s="39" t="s">
        <v>164</v>
      </c>
      <c r="Y6" s="39" t="s">
        <v>141</v>
      </c>
      <c r="Z6" s="39" t="s">
        <v>165</v>
      </c>
      <c r="AA6" s="39" t="s">
        <v>47</v>
      </c>
      <c r="AB6" s="31" t="s">
        <v>166</v>
      </c>
      <c r="AC6" s="12"/>
      <c r="AD6" s="29" t="s">
        <v>167</v>
      </c>
    </row>
    <row r="7" spans="1:30" x14ac:dyDescent="0.3">
      <c r="N7" s="38"/>
      <c r="O7" s="17"/>
      <c r="AB7" s="30"/>
      <c r="AC7" s="11"/>
      <c r="AD7" s="28"/>
    </row>
    <row r="8" spans="1:30" x14ac:dyDescent="0.3">
      <c r="A8" s="7">
        <v>1</v>
      </c>
      <c r="B8" s="46" t="s">
        <v>28</v>
      </c>
      <c r="C8" s="43">
        <v>88</v>
      </c>
      <c r="D8" s="43">
        <v>93</v>
      </c>
      <c r="E8" s="43">
        <v>94</v>
      </c>
      <c r="F8" s="40"/>
      <c r="G8" s="43"/>
      <c r="H8" s="43"/>
      <c r="I8" s="43"/>
      <c r="J8" s="42"/>
      <c r="K8" s="43"/>
      <c r="L8" s="43">
        <v>91</v>
      </c>
      <c r="M8" s="43">
        <v>99</v>
      </c>
      <c r="N8" s="43"/>
      <c r="O8" s="43">
        <v>96</v>
      </c>
      <c r="P8" s="43">
        <v>91</v>
      </c>
      <c r="Q8" s="42"/>
      <c r="R8" s="43"/>
      <c r="S8" s="40"/>
      <c r="T8" s="40"/>
      <c r="U8" s="40"/>
      <c r="V8" s="43"/>
      <c r="W8" s="43"/>
      <c r="X8" s="42"/>
      <c r="Y8" s="42"/>
      <c r="Z8" s="43">
        <v>90</v>
      </c>
      <c r="AA8" s="43">
        <v>100</v>
      </c>
      <c r="AB8" s="32">
        <f t="shared" ref="AB8:AB39" si="0">SUM(C8:AA8)</f>
        <v>842</v>
      </c>
      <c r="AC8" s="18"/>
      <c r="AD8" s="13">
        <f t="shared" ref="AD8:AD39" si="1">AVERAGE(C8:AA8)</f>
        <v>93.555555555555557</v>
      </c>
    </row>
    <row r="9" spans="1:30" x14ac:dyDescent="0.3">
      <c r="A9" s="7">
        <v>2</v>
      </c>
      <c r="B9" s="50" t="s">
        <v>12</v>
      </c>
      <c r="C9" s="43">
        <v>90</v>
      </c>
      <c r="D9" s="43">
        <v>98</v>
      </c>
      <c r="E9" s="43"/>
      <c r="F9" s="43">
        <v>82</v>
      </c>
      <c r="G9" s="51"/>
      <c r="H9" s="43"/>
      <c r="I9" s="43"/>
      <c r="J9" s="51"/>
      <c r="K9" s="43"/>
      <c r="L9" s="43">
        <v>93</v>
      </c>
      <c r="M9" s="43">
        <v>96</v>
      </c>
      <c r="N9" s="43"/>
      <c r="O9" s="51"/>
      <c r="P9" s="43">
        <v>95</v>
      </c>
      <c r="Q9" s="43">
        <v>92</v>
      </c>
      <c r="R9" s="51"/>
      <c r="S9" s="51"/>
      <c r="T9" s="51"/>
      <c r="U9" s="43">
        <v>81</v>
      </c>
      <c r="V9" s="43"/>
      <c r="W9" s="43"/>
      <c r="X9" s="51"/>
      <c r="Y9" s="51"/>
      <c r="Z9" s="43">
        <v>92</v>
      </c>
      <c r="AA9" s="43"/>
      <c r="AB9" s="32">
        <f t="shared" si="0"/>
        <v>819</v>
      </c>
      <c r="AC9" s="18"/>
      <c r="AD9" s="13">
        <f t="shared" si="1"/>
        <v>91</v>
      </c>
    </row>
    <row r="10" spans="1:30" x14ac:dyDescent="0.3">
      <c r="A10" s="7">
        <v>3</v>
      </c>
      <c r="B10" s="50" t="s">
        <v>125</v>
      </c>
      <c r="C10" s="43">
        <v>96</v>
      </c>
      <c r="D10" s="43">
        <v>90</v>
      </c>
      <c r="E10" s="43">
        <v>91</v>
      </c>
      <c r="F10" s="43"/>
      <c r="G10" s="51"/>
      <c r="H10" s="43">
        <v>93</v>
      </c>
      <c r="I10" s="43"/>
      <c r="J10" s="43"/>
      <c r="K10" s="43"/>
      <c r="L10" s="43">
        <v>88</v>
      </c>
      <c r="M10" s="43">
        <v>85</v>
      </c>
      <c r="N10" s="43"/>
      <c r="O10" s="51"/>
      <c r="P10" s="51"/>
      <c r="Q10" s="51"/>
      <c r="R10" s="51"/>
      <c r="S10" s="43"/>
      <c r="T10" s="43"/>
      <c r="U10" s="43"/>
      <c r="V10" s="43">
        <v>100</v>
      </c>
      <c r="W10" s="43"/>
      <c r="X10" s="51"/>
      <c r="Y10" s="43"/>
      <c r="Z10" s="43">
        <v>83</v>
      </c>
      <c r="AA10" s="43"/>
      <c r="AB10" s="32">
        <f t="shared" si="0"/>
        <v>726</v>
      </c>
      <c r="AC10" s="18"/>
      <c r="AD10" s="13">
        <f t="shared" si="1"/>
        <v>90.75</v>
      </c>
    </row>
    <row r="11" spans="1:30" x14ac:dyDescent="0.3">
      <c r="A11" s="7">
        <v>4</v>
      </c>
      <c r="B11" s="50" t="s">
        <v>31</v>
      </c>
      <c r="C11" s="43">
        <v>83</v>
      </c>
      <c r="D11" s="43">
        <v>91</v>
      </c>
      <c r="E11" s="43">
        <v>93</v>
      </c>
      <c r="F11" s="43"/>
      <c r="G11" s="42"/>
      <c r="H11" s="43"/>
      <c r="I11" s="40"/>
      <c r="J11" s="40"/>
      <c r="K11" s="42"/>
      <c r="L11" s="43">
        <v>84</v>
      </c>
      <c r="M11" s="43">
        <v>91</v>
      </c>
      <c r="N11" s="52"/>
      <c r="O11" s="43">
        <v>96</v>
      </c>
      <c r="P11" s="43">
        <v>84</v>
      </c>
      <c r="Q11" s="43"/>
      <c r="R11" s="52"/>
      <c r="S11" s="42"/>
      <c r="T11" s="42"/>
      <c r="U11" s="43"/>
      <c r="V11" s="40"/>
      <c r="W11" s="40"/>
      <c r="X11" s="43"/>
      <c r="Y11" s="40"/>
      <c r="Z11" s="43">
        <v>84</v>
      </c>
      <c r="AA11" s="43">
        <v>97</v>
      </c>
      <c r="AB11" s="32">
        <f t="shared" si="0"/>
        <v>803</v>
      </c>
      <c r="AC11" s="18"/>
      <c r="AD11" s="13">
        <f t="shared" si="1"/>
        <v>89.222222222222229</v>
      </c>
    </row>
    <row r="12" spans="1:30" x14ac:dyDescent="0.3">
      <c r="A12" s="7">
        <v>5</v>
      </c>
      <c r="B12" s="46" t="s">
        <v>11</v>
      </c>
      <c r="C12" s="43">
        <v>85</v>
      </c>
      <c r="D12" s="43">
        <v>93</v>
      </c>
      <c r="E12" s="43"/>
      <c r="F12" s="43">
        <v>87</v>
      </c>
      <c r="G12" s="43"/>
      <c r="H12" s="43"/>
      <c r="I12" s="40"/>
      <c r="J12" s="40"/>
      <c r="K12" s="53"/>
      <c r="L12" s="43">
        <v>93</v>
      </c>
      <c r="M12" s="43">
        <v>95</v>
      </c>
      <c r="N12" s="43"/>
      <c r="O12" s="43"/>
      <c r="P12" s="43">
        <v>91</v>
      </c>
      <c r="Q12" s="43">
        <v>85</v>
      </c>
      <c r="R12" s="43"/>
      <c r="S12" s="53"/>
      <c r="T12" s="53"/>
      <c r="U12" s="43">
        <v>85</v>
      </c>
      <c r="V12" s="40"/>
      <c r="W12" s="40"/>
      <c r="X12" s="43"/>
      <c r="Y12" s="40"/>
      <c r="Z12" s="43">
        <v>86</v>
      </c>
      <c r="AA12" s="43"/>
      <c r="AB12" s="32">
        <f t="shared" si="0"/>
        <v>800</v>
      </c>
      <c r="AC12" s="18"/>
      <c r="AD12" s="13">
        <f t="shared" si="1"/>
        <v>88.888888888888886</v>
      </c>
    </row>
    <row r="13" spans="1:30" x14ac:dyDescent="0.3">
      <c r="A13" s="7">
        <v>6</v>
      </c>
      <c r="B13" s="50" t="s">
        <v>49</v>
      </c>
      <c r="C13" s="43">
        <v>89</v>
      </c>
      <c r="D13" s="43">
        <v>95</v>
      </c>
      <c r="E13" s="43">
        <v>90</v>
      </c>
      <c r="F13" s="43"/>
      <c r="G13" s="43"/>
      <c r="H13" s="43"/>
      <c r="I13" s="43"/>
      <c r="J13" s="42"/>
      <c r="K13" s="43"/>
      <c r="L13" s="43">
        <v>90</v>
      </c>
      <c r="M13" s="43">
        <v>85</v>
      </c>
      <c r="N13" s="43"/>
      <c r="O13" s="42"/>
      <c r="P13" s="40"/>
      <c r="Q13" s="42"/>
      <c r="R13" s="43"/>
      <c r="S13" s="40"/>
      <c r="T13" s="40"/>
      <c r="U13" s="43">
        <v>81</v>
      </c>
      <c r="V13" s="42"/>
      <c r="W13" s="43"/>
      <c r="X13" s="43">
        <v>90</v>
      </c>
      <c r="Y13" s="42"/>
      <c r="Z13" s="43">
        <v>88</v>
      </c>
      <c r="AA13" s="43"/>
      <c r="AB13" s="32">
        <f t="shared" si="0"/>
        <v>708</v>
      </c>
      <c r="AC13" s="18"/>
      <c r="AD13" s="13">
        <f t="shared" si="1"/>
        <v>88.5</v>
      </c>
    </row>
    <row r="14" spans="1:30" x14ac:dyDescent="0.3">
      <c r="A14" s="7">
        <v>7</v>
      </c>
      <c r="B14" s="50" t="s">
        <v>30</v>
      </c>
      <c r="C14" s="43">
        <v>79</v>
      </c>
      <c r="D14" s="43">
        <v>92</v>
      </c>
      <c r="E14" s="43">
        <v>89</v>
      </c>
      <c r="F14" s="43"/>
      <c r="G14" s="51"/>
      <c r="H14" s="43"/>
      <c r="I14" s="51"/>
      <c r="J14" s="51"/>
      <c r="K14" s="51"/>
      <c r="L14" s="43">
        <v>92</v>
      </c>
      <c r="M14" s="43">
        <v>92</v>
      </c>
      <c r="N14" s="51"/>
      <c r="O14" s="43">
        <v>89</v>
      </c>
      <c r="P14" s="43">
        <v>84</v>
      </c>
      <c r="Q14" s="43"/>
      <c r="R14" s="51"/>
      <c r="S14" s="51"/>
      <c r="T14" s="51"/>
      <c r="U14" s="43"/>
      <c r="V14" s="43"/>
      <c r="W14" s="43"/>
      <c r="X14" s="43"/>
      <c r="Y14" s="51"/>
      <c r="Z14" s="43">
        <v>81</v>
      </c>
      <c r="AA14" s="43">
        <v>92</v>
      </c>
      <c r="AB14" s="32">
        <f t="shared" si="0"/>
        <v>790</v>
      </c>
      <c r="AC14" s="18"/>
      <c r="AD14" s="13">
        <f t="shared" si="1"/>
        <v>87.777777777777771</v>
      </c>
    </row>
    <row r="15" spans="1:30" x14ac:dyDescent="0.3">
      <c r="A15" s="7">
        <v>8</v>
      </c>
      <c r="B15" s="50" t="s">
        <v>29</v>
      </c>
      <c r="C15" s="43">
        <v>82</v>
      </c>
      <c r="D15" s="43">
        <v>92</v>
      </c>
      <c r="E15" s="43">
        <v>92</v>
      </c>
      <c r="F15" s="43"/>
      <c r="G15" s="40"/>
      <c r="H15" s="42"/>
      <c r="I15" s="40"/>
      <c r="J15" s="40"/>
      <c r="K15" s="40"/>
      <c r="L15" s="43">
        <v>83</v>
      </c>
      <c r="M15" s="43">
        <v>88</v>
      </c>
      <c r="N15" s="40"/>
      <c r="O15" s="43">
        <v>92</v>
      </c>
      <c r="P15" s="43">
        <v>82</v>
      </c>
      <c r="Q15" s="43"/>
      <c r="R15" s="40"/>
      <c r="S15" s="40"/>
      <c r="T15" s="40"/>
      <c r="U15" s="43"/>
      <c r="V15" s="40"/>
      <c r="W15" s="40"/>
      <c r="X15" s="43"/>
      <c r="Y15" s="40"/>
      <c r="Z15" s="43">
        <v>82</v>
      </c>
      <c r="AA15" s="43">
        <v>96</v>
      </c>
      <c r="AB15" s="32">
        <f t="shared" si="0"/>
        <v>789</v>
      </c>
      <c r="AC15" s="18"/>
      <c r="AD15" s="13">
        <f t="shared" si="1"/>
        <v>87.666666666666671</v>
      </c>
    </row>
    <row r="16" spans="1:30" x14ac:dyDescent="0.3">
      <c r="A16" s="7">
        <v>9</v>
      </c>
      <c r="B16" s="50" t="s">
        <v>126</v>
      </c>
      <c r="C16" s="43">
        <v>81</v>
      </c>
      <c r="D16" s="43">
        <v>94</v>
      </c>
      <c r="E16" s="43">
        <v>90</v>
      </c>
      <c r="F16" s="42"/>
      <c r="G16" s="43"/>
      <c r="H16" s="43">
        <v>98</v>
      </c>
      <c r="I16" s="40"/>
      <c r="J16" s="42"/>
      <c r="K16" s="40"/>
      <c r="L16" s="43">
        <v>83</v>
      </c>
      <c r="M16" s="43">
        <v>83</v>
      </c>
      <c r="N16" s="43"/>
      <c r="O16" s="42"/>
      <c r="P16" s="40"/>
      <c r="Q16" s="40"/>
      <c r="R16" s="43"/>
      <c r="S16" s="40"/>
      <c r="T16" s="40"/>
      <c r="U16" s="43"/>
      <c r="V16" s="43">
        <v>91</v>
      </c>
      <c r="W16" s="42"/>
      <c r="X16" s="43"/>
      <c r="Y16" s="42"/>
      <c r="Z16" s="43">
        <v>77</v>
      </c>
      <c r="AA16" s="43"/>
      <c r="AB16" s="32">
        <f t="shared" si="0"/>
        <v>697</v>
      </c>
      <c r="AC16" s="18"/>
      <c r="AD16" s="13">
        <f t="shared" si="1"/>
        <v>87.125</v>
      </c>
    </row>
    <row r="17" spans="1:30" x14ac:dyDescent="0.3">
      <c r="A17" s="7">
        <v>10</v>
      </c>
      <c r="B17" s="50" t="s">
        <v>114</v>
      </c>
      <c r="C17" s="43">
        <v>83</v>
      </c>
      <c r="D17" s="43">
        <v>90</v>
      </c>
      <c r="E17" s="43"/>
      <c r="F17" s="43"/>
      <c r="G17" s="44"/>
      <c r="H17" s="43">
        <v>80</v>
      </c>
      <c r="I17" s="43"/>
      <c r="J17" s="40"/>
      <c r="K17" s="43"/>
      <c r="L17" s="43">
        <v>85</v>
      </c>
      <c r="M17" s="43">
        <v>81</v>
      </c>
      <c r="N17" s="43"/>
      <c r="O17" s="43"/>
      <c r="P17" s="43"/>
      <c r="Q17" s="44"/>
      <c r="R17" s="44"/>
      <c r="S17" s="43">
        <v>92</v>
      </c>
      <c r="T17" s="43">
        <v>93</v>
      </c>
      <c r="U17" s="43"/>
      <c r="V17" s="40"/>
      <c r="W17" s="43"/>
      <c r="X17" s="40"/>
      <c r="Y17" s="40"/>
      <c r="Z17" s="43"/>
      <c r="AA17" s="43">
        <v>92</v>
      </c>
      <c r="AB17" s="32">
        <f t="shared" si="0"/>
        <v>696</v>
      </c>
      <c r="AC17" s="18"/>
      <c r="AD17" s="13">
        <f t="shared" si="1"/>
        <v>87</v>
      </c>
    </row>
    <row r="18" spans="1:30" x14ac:dyDescent="0.3">
      <c r="A18" s="7">
        <v>11</v>
      </c>
      <c r="B18" s="50" t="s">
        <v>13</v>
      </c>
      <c r="C18" s="43">
        <v>82</v>
      </c>
      <c r="D18" s="43">
        <v>91</v>
      </c>
      <c r="E18" s="43"/>
      <c r="F18" s="43">
        <v>82</v>
      </c>
      <c r="G18" s="43"/>
      <c r="H18" s="43"/>
      <c r="I18" s="40"/>
      <c r="J18" s="40"/>
      <c r="K18" s="44"/>
      <c r="L18" s="43">
        <v>96</v>
      </c>
      <c r="M18" s="43">
        <v>94</v>
      </c>
      <c r="N18" s="43"/>
      <c r="O18" s="40"/>
      <c r="P18" s="43">
        <v>85</v>
      </c>
      <c r="Q18" s="43">
        <v>82</v>
      </c>
      <c r="R18" s="43"/>
      <c r="S18" s="42"/>
      <c r="T18" s="44"/>
      <c r="U18" s="43">
        <v>80</v>
      </c>
      <c r="V18" s="40"/>
      <c r="W18" s="40"/>
      <c r="X18" s="43"/>
      <c r="Y18" s="40"/>
      <c r="Z18" s="43">
        <v>88</v>
      </c>
      <c r="AA18" s="43"/>
      <c r="AB18" s="32">
        <f t="shared" si="0"/>
        <v>780</v>
      </c>
      <c r="AC18" s="18"/>
      <c r="AD18" s="13">
        <f t="shared" si="1"/>
        <v>86.666666666666671</v>
      </c>
    </row>
    <row r="19" spans="1:30" x14ac:dyDescent="0.3">
      <c r="A19" s="7">
        <v>12</v>
      </c>
      <c r="B19" s="50" t="s">
        <v>50</v>
      </c>
      <c r="C19" s="43">
        <v>86</v>
      </c>
      <c r="D19" s="43">
        <v>90</v>
      </c>
      <c r="E19" s="43">
        <v>86</v>
      </c>
      <c r="F19" s="43"/>
      <c r="G19" s="52"/>
      <c r="H19" s="52"/>
      <c r="I19" s="40"/>
      <c r="J19" s="40"/>
      <c r="K19" s="52"/>
      <c r="L19" s="43">
        <v>77</v>
      </c>
      <c r="M19" s="43">
        <v>83</v>
      </c>
      <c r="N19" s="52"/>
      <c r="O19" s="43"/>
      <c r="P19" s="43"/>
      <c r="Q19" s="43"/>
      <c r="R19" s="52"/>
      <c r="S19" s="42"/>
      <c r="T19" s="52"/>
      <c r="U19" s="43">
        <v>80</v>
      </c>
      <c r="V19" s="40"/>
      <c r="W19" s="40"/>
      <c r="X19" s="43">
        <v>85</v>
      </c>
      <c r="Y19" s="40"/>
      <c r="Z19" s="43">
        <v>81</v>
      </c>
      <c r="AA19" s="43"/>
      <c r="AB19" s="32">
        <f t="shared" si="0"/>
        <v>668</v>
      </c>
      <c r="AC19" s="18"/>
      <c r="AD19" s="13">
        <f t="shared" si="1"/>
        <v>83.5</v>
      </c>
    </row>
    <row r="20" spans="1:30" x14ac:dyDescent="0.3">
      <c r="A20" s="7">
        <v>13</v>
      </c>
      <c r="B20" s="56" t="s">
        <v>86</v>
      </c>
      <c r="C20" s="43">
        <v>76</v>
      </c>
      <c r="D20" s="43">
        <v>82</v>
      </c>
      <c r="E20" s="51"/>
      <c r="F20" s="51"/>
      <c r="G20" s="43">
        <v>80</v>
      </c>
      <c r="H20" s="43">
        <v>82</v>
      </c>
      <c r="I20" s="43"/>
      <c r="J20" s="51"/>
      <c r="K20" s="43"/>
      <c r="L20" s="43">
        <v>82</v>
      </c>
      <c r="M20" s="43"/>
      <c r="N20" s="43">
        <v>87</v>
      </c>
      <c r="O20" s="51"/>
      <c r="P20" s="51"/>
      <c r="Q20" s="51"/>
      <c r="R20" s="43">
        <v>87</v>
      </c>
      <c r="S20" s="43"/>
      <c r="T20" s="43"/>
      <c r="U20" s="51"/>
      <c r="V20" s="51"/>
      <c r="W20" s="43"/>
      <c r="X20" s="51"/>
      <c r="Y20" s="51"/>
      <c r="Z20" s="51"/>
      <c r="AA20" s="43">
        <v>86</v>
      </c>
      <c r="AB20" s="32">
        <f t="shared" si="0"/>
        <v>662</v>
      </c>
      <c r="AC20" s="18"/>
      <c r="AD20" s="13">
        <f t="shared" si="1"/>
        <v>82.75</v>
      </c>
    </row>
    <row r="21" spans="1:30" x14ac:dyDescent="0.3">
      <c r="A21" s="7">
        <v>14</v>
      </c>
      <c r="B21" s="50" t="s">
        <v>65</v>
      </c>
      <c r="C21" s="43">
        <v>72</v>
      </c>
      <c r="D21" s="43">
        <v>84</v>
      </c>
      <c r="E21" s="43"/>
      <c r="F21" s="43">
        <v>82</v>
      </c>
      <c r="G21" s="42"/>
      <c r="H21" s="43">
        <v>84</v>
      </c>
      <c r="I21" s="40"/>
      <c r="J21" s="44"/>
      <c r="K21" s="40"/>
      <c r="L21" s="43">
        <v>81</v>
      </c>
      <c r="M21" s="43">
        <v>77</v>
      </c>
      <c r="N21" s="40"/>
      <c r="O21" s="43"/>
      <c r="P21" s="43"/>
      <c r="Q21" s="44"/>
      <c r="R21" s="40"/>
      <c r="S21" s="43"/>
      <c r="T21" s="43"/>
      <c r="U21" s="43">
        <v>79</v>
      </c>
      <c r="V21" s="43"/>
      <c r="W21" s="44"/>
      <c r="X21" s="44"/>
      <c r="Y21" s="44"/>
      <c r="Z21" s="43"/>
      <c r="AA21" s="43">
        <v>84</v>
      </c>
      <c r="AB21" s="32">
        <f t="shared" si="0"/>
        <v>643</v>
      </c>
      <c r="AC21" s="18"/>
      <c r="AD21" s="13">
        <f t="shared" si="1"/>
        <v>80.375</v>
      </c>
    </row>
    <row r="22" spans="1:30" x14ac:dyDescent="0.3">
      <c r="A22" s="7">
        <v>15</v>
      </c>
      <c r="B22" s="56" t="s">
        <v>93</v>
      </c>
      <c r="C22" s="43">
        <v>77</v>
      </c>
      <c r="D22" s="43">
        <v>82</v>
      </c>
      <c r="E22" s="43"/>
      <c r="F22" s="43"/>
      <c r="G22" s="43">
        <v>77</v>
      </c>
      <c r="H22" s="43">
        <v>75</v>
      </c>
      <c r="I22" s="40"/>
      <c r="J22" s="40"/>
      <c r="K22" s="42"/>
      <c r="L22" s="43">
        <v>80</v>
      </c>
      <c r="M22" s="43"/>
      <c r="N22" s="43">
        <v>82</v>
      </c>
      <c r="O22" s="43"/>
      <c r="P22" s="43"/>
      <c r="Q22" s="40"/>
      <c r="R22" s="43">
        <v>84</v>
      </c>
      <c r="S22" s="54"/>
      <c r="T22" s="42"/>
      <c r="U22" s="43"/>
      <c r="V22" s="40"/>
      <c r="W22" s="40"/>
      <c r="X22" s="43"/>
      <c r="Y22" s="40"/>
      <c r="Z22" s="43"/>
      <c r="AA22" s="43">
        <v>82</v>
      </c>
      <c r="AB22" s="32">
        <f t="shared" si="0"/>
        <v>639</v>
      </c>
      <c r="AC22" s="18"/>
      <c r="AD22" s="13">
        <f t="shared" si="1"/>
        <v>79.875</v>
      </c>
    </row>
    <row r="23" spans="1:30" x14ac:dyDescent="0.3">
      <c r="A23" s="7">
        <v>16</v>
      </c>
      <c r="B23" s="56" t="s">
        <v>138</v>
      </c>
      <c r="C23" s="43">
        <v>73</v>
      </c>
      <c r="D23" s="43">
        <v>80</v>
      </c>
      <c r="E23" s="43"/>
      <c r="F23" s="43"/>
      <c r="G23" s="43"/>
      <c r="H23" s="43"/>
      <c r="I23" s="40"/>
      <c r="J23" s="43">
        <v>82</v>
      </c>
      <c r="K23" s="42"/>
      <c r="L23" s="43">
        <v>67</v>
      </c>
      <c r="M23" s="43"/>
      <c r="N23" s="43">
        <v>88</v>
      </c>
      <c r="O23" s="43"/>
      <c r="P23" s="43"/>
      <c r="Q23" s="44"/>
      <c r="R23" s="43"/>
      <c r="S23" s="44"/>
      <c r="T23" s="42"/>
      <c r="U23" s="43"/>
      <c r="V23" s="40"/>
      <c r="W23" s="40"/>
      <c r="X23" s="43"/>
      <c r="Y23" s="43">
        <v>83</v>
      </c>
      <c r="Z23" s="43"/>
      <c r="AA23" s="43">
        <v>83</v>
      </c>
      <c r="AB23" s="32">
        <f t="shared" si="0"/>
        <v>556</v>
      </c>
      <c r="AC23" s="18"/>
      <c r="AD23" s="13">
        <f t="shared" si="1"/>
        <v>79.428571428571431</v>
      </c>
    </row>
    <row r="24" spans="1:30" x14ac:dyDescent="0.3">
      <c r="A24" s="7">
        <v>17</v>
      </c>
      <c r="B24" s="50" t="s">
        <v>129</v>
      </c>
      <c r="C24" s="43">
        <v>76</v>
      </c>
      <c r="D24" s="43">
        <v>88</v>
      </c>
      <c r="E24" s="43">
        <v>79</v>
      </c>
      <c r="F24" s="43"/>
      <c r="G24" s="51"/>
      <c r="H24" s="43">
        <v>82</v>
      </c>
      <c r="I24" s="43"/>
      <c r="J24" s="51"/>
      <c r="K24" s="43"/>
      <c r="L24" s="43">
        <v>82</v>
      </c>
      <c r="M24" s="43">
        <v>73</v>
      </c>
      <c r="N24" s="43"/>
      <c r="O24" s="51"/>
      <c r="P24" s="51"/>
      <c r="Q24" s="51"/>
      <c r="R24" s="51"/>
      <c r="S24" s="51"/>
      <c r="T24" s="51"/>
      <c r="U24" s="43"/>
      <c r="V24" s="43">
        <v>88</v>
      </c>
      <c r="W24" s="43"/>
      <c r="X24" s="43"/>
      <c r="Y24" s="51"/>
      <c r="Z24" s="43">
        <v>65</v>
      </c>
      <c r="AA24" s="43"/>
      <c r="AB24" s="32">
        <f t="shared" si="0"/>
        <v>633</v>
      </c>
      <c r="AC24" s="18"/>
      <c r="AD24" s="13">
        <f t="shared" si="1"/>
        <v>79.125</v>
      </c>
    </row>
    <row r="25" spans="1:30" x14ac:dyDescent="0.3">
      <c r="A25" s="7">
        <v>18</v>
      </c>
      <c r="B25" s="50" t="s">
        <v>54</v>
      </c>
      <c r="C25" s="43">
        <v>70</v>
      </c>
      <c r="D25" s="43">
        <v>88</v>
      </c>
      <c r="E25" s="43">
        <v>81</v>
      </c>
      <c r="F25" s="43"/>
      <c r="G25" s="43"/>
      <c r="H25" s="43"/>
      <c r="I25" s="40"/>
      <c r="J25" s="40"/>
      <c r="K25" s="52"/>
      <c r="L25" s="43">
        <v>80</v>
      </c>
      <c r="M25" s="43">
        <v>80</v>
      </c>
      <c r="N25" s="43"/>
      <c r="O25" s="40"/>
      <c r="P25" s="52"/>
      <c r="Q25" s="40"/>
      <c r="R25" s="43"/>
      <c r="S25" s="42"/>
      <c r="T25" s="52"/>
      <c r="U25" s="43">
        <v>76</v>
      </c>
      <c r="V25" s="40"/>
      <c r="W25" s="40"/>
      <c r="X25" s="43">
        <v>82</v>
      </c>
      <c r="Y25" s="40"/>
      <c r="Z25" s="43">
        <v>75</v>
      </c>
      <c r="AA25" s="43"/>
      <c r="AB25" s="32">
        <f t="shared" si="0"/>
        <v>632</v>
      </c>
      <c r="AC25" s="18"/>
      <c r="AD25" s="13">
        <f t="shared" si="1"/>
        <v>79</v>
      </c>
    </row>
    <row r="26" spans="1:30" x14ac:dyDescent="0.3">
      <c r="A26" s="7">
        <v>19</v>
      </c>
      <c r="B26" s="50" t="s">
        <v>14</v>
      </c>
      <c r="C26" s="43">
        <v>85</v>
      </c>
      <c r="D26" s="43">
        <v>92</v>
      </c>
      <c r="E26" s="43"/>
      <c r="F26" s="43">
        <v>70</v>
      </c>
      <c r="G26" s="40"/>
      <c r="H26" s="43"/>
      <c r="I26" s="40"/>
      <c r="J26" s="44"/>
      <c r="K26" s="40"/>
      <c r="L26" s="43">
        <v>86</v>
      </c>
      <c r="M26" s="43">
        <v>81</v>
      </c>
      <c r="N26" s="42"/>
      <c r="O26" s="43"/>
      <c r="P26" s="43">
        <v>80</v>
      </c>
      <c r="Q26" s="43">
        <v>69</v>
      </c>
      <c r="R26" s="42"/>
      <c r="S26" s="43"/>
      <c r="T26" s="43"/>
      <c r="U26" s="43">
        <v>62</v>
      </c>
      <c r="V26" s="44"/>
      <c r="W26" s="44"/>
      <c r="X26" s="43"/>
      <c r="Y26" s="44"/>
      <c r="Z26" s="43">
        <v>78</v>
      </c>
      <c r="AA26" s="43"/>
      <c r="AB26" s="32">
        <f t="shared" si="0"/>
        <v>703</v>
      </c>
      <c r="AC26" s="18"/>
      <c r="AD26" s="13">
        <f t="shared" si="1"/>
        <v>78.111111111111114</v>
      </c>
    </row>
    <row r="27" spans="1:30" x14ac:dyDescent="0.3">
      <c r="A27" s="7">
        <v>20</v>
      </c>
      <c r="B27" s="50" t="s">
        <v>16</v>
      </c>
      <c r="C27" s="43">
        <v>82</v>
      </c>
      <c r="D27" s="43">
        <v>88</v>
      </c>
      <c r="E27" s="43"/>
      <c r="F27" s="43">
        <v>75</v>
      </c>
      <c r="G27" s="43"/>
      <c r="H27" s="43"/>
      <c r="I27" s="40"/>
      <c r="J27" s="40"/>
      <c r="K27" s="42"/>
      <c r="L27" s="43">
        <v>82</v>
      </c>
      <c r="M27" s="43">
        <v>84</v>
      </c>
      <c r="N27" s="43"/>
      <c r="O27" s="43"/>
      <c r="P27" s="43">
        <v>76</v>
      </c>
      <c r="Q27" s="43">
        <v>62</v>
      </c>
      <c r="R27" s="43"/>
      <c r="S27" s="44"/>
      <c r="T27" s="42"/>
      <c r="U27" s="43">
        <v>70</v>
      </c>
      <c r="V27" s="43"/>
      <c r="W27" s="40"/>
      <c r="X27" s="43"/>
      <c r="Y27" s="40"/>
      <c r="Z27" s="43">
        <v>80</v>
      </c>
      <c r="AA27" s="43"/>
      <c r="AB27" s="32">
        <f t="shared" si="0"/>
        <v>699</v>
      </c>
      <c r="AC27" s="18"/>
      <c r="AD27" s="13">
        <f t="shared" si="1"/>
        <v>77.666666666666671</v>
      </c>
    </row>
    <row r="28" spans="1:30" x14ac:dyDescent="0.3">
      <c r="A28" s="7">
        <v>21</v>
      </c>
      <c r="B28" s="56" t="s">
        <v>153</v>
      </c>
      <c r="C28" s="43">
        <v>63</v>
      </c>
      <c r="D28" s="43">
        <v>82</v>
      </c>
      <c r="E28" s="43"/>
      <c r="F28" s="43"/>
      <c r="G28" s="42"/>
      <c r="H28" s="43"/>
      <c r="I28" s="43">
        <v>85</v>
      </c>
      <c r="J28" s="43"/>
      <c r="K28" s="43">
        <v>91</v>
      </c>
      <c r="L28" s="43">
        <v>52</v>
      </c>
      <c r="M28" s="43"/>
      <c r="N28" s="43">
        <v>83</v>
      </c>
      <c r="O28" s="43"/>
      <c r="P28" s="43"/>
      <c r="Q28" s="44"/>
      <c r="R28" s="44"/>
      <c r="S28" s="43"/>
      <c r="T28" s="43"/>
      <c r="U28" s="43"/>
      <c r="V28" s="40"/>
      <c r="W28" s="43">
        <v>85</v>
      </c>
      <c r="X28" s="40"/>
      <c r="Y28" s="43"/>
      <c r="Z28" s="43"/>
      <c r="AA28" s="43">
        <v>80</v>
      </c>
      <c r="AB28" s="32">
        <f t="shared" si="0"/>
        <v>621</v>
      </c>
      <c r="AC28" s="18"/>
      <c r="AD28" s="13">
        <f t="shared" si="1"/>
        <v>77.625</v>
      </c>
    </row>
    <row r="29" spans="1:30" x14ac:dyDescent="0.3">
      <c r="A29" s="7">
        <v>22</v>
      </c>
      <c r="B29" s="50" t="s">
        <v>33</v>
      </c>
      <c r="C29" s="43">
        <v>72</v>
      </c>
      <c r="D29" s="43">
        <v>82</v>
      </c>
      <c r="E29" s="43">
        <v>80</v>
      </c>
      <c r="F29" s="43"/>
      <c r="G29" s="51"/>
      <c r="H29" s="43"/>
      <c r="I29" s="51"/>
      <c r="J29" s="51"/>
      <c r="K29" s="51"/>
      <c r="L29" s="43">
        <v>75</v>
      </c>
      <c r="M29" s="43">
        <v>62</v>
      </c>
      <c r="N29" s="51"/>
      <c r="O29" s="43">
        <v>84</v>
      </c>
      <c r="P29" s="43">
        <v>72</v>
      </c>
      <c r="Q29" s="43"/>
      <c r="R29" s="51"/>
      <c r="S29" s="51"/>
      <c r="T29" s="51"/>
      <c r="U29" s="43"/>
      <c r="V29" s="43"/>
      <c r="W29" s="43"/>
      <c r="X29" s="51"/>
      <c r="Y29" s="51"/>
      <c r="Z29" s="43">
        <v>83</v>
      </c>
      <c r="AA29" s="43">
        <v>88</v>
      </c>
      <c r="AB29" s="32">
        <f t="shared" si="0"/>
        <v>698</v>
      </c>
      <c r="AC29" s="18"/>
      <c r="AD29" s="13">
        <f t="shared" si="1"/>
        <v>77.555555555555557</v>
      </c>
    </row>
    <row r="30" spans="1:30" x14ac:dyDescent="0.3">
      <c r="A30" s="7">
        <v>23</v>
      </c>
      <c r="B30" s="50" t="s">
        <v>53</v>
      </c>
      <c r="C30" s="43">
        <v>76</v>
      </c>
      <c r="D30" s="43">
        <v>80</v>
      </c>
      <c r="E30" s="43">
        <v>80</v>
      </c>
      <c r="F30" s="43"/>
      <c r="G30" s="40"/>
      <c r="H30" s="40"/>
      <c r="I30" s="40"/>
      <c r="J30" s="40"/>
      <c r="K30" s="40"/>
      <c r="L30" s="43">
        <v>81</v>
      </c>
      <c r="M30" s="43">
        <v>77</v>
      </c>
      <c r="N30" s="40"/>
      <c r="O30" s="43"/>
      <c r="P30" s="43"/>
      <c r="Q30" s="43"/>
      <c r="R30" s="40"/>
      <c r="S30" s="40"/>
      <c r="T30" s="40"/>
      <c r="U30" s="43">
        <v>72</v>
      </c>
      <c r="V30" s="40"/>
      <c r="W30" s="40"/>
      <c r="X30" s="43">
        <v>77</v>
      </c>
      <c r="Y30" s="40"/>
      <c r="Z30" s="43">
        <v>73</v>
      </c>
      <c r="AA30" s="43"/>
      <c r="AB30" s="32">
        <f t="shared" si="0"/>
        <v>616</v>
      </c>
      <c r="AC30" s="18"/>
      <c r="AD30" s="13">
        <f t="shared" si="1"/>
        <v>77</v>
      </c>
    </row>
    <row r="31" spans="1:30" x14ac:dyDescent="0.3">
      <c r="A31" s="7">
        <v>24</v>
      </c>
      <c r="B31" s="56" t="s">
        <v>146</v>
      </c>
      <c r="C31" s="43">
        <v>53</v>
      </c>
      <c r="D31" s="43">
        <v>83</v>
      </c>
      <c r="E31" s="51"/>
      <c r="F31" s="43"/>
      <c r="G31" s="43"/>
      <c r="H31" s="43"/>
      <c r="I31" s="43">
        <v>79</v>
      </c>
      <c r="J31" s="43"/>
      <c r="K31" s="43">
        <v>88</v>
      </c>
      <c r="L31" s="43">
        <v>79</v>
      </c>
      <c r="M31" s="43"/>
      <c r="N31" s="43">
        <v>77</v>
      </c>
      <c r="O31" s="51"/>
      <c r="P31" s="51"/>
      <c r="Q31" s="51"/>
      <c r="R31" s="43"/>
      <c r="S31" s="51"/>
      <c r="T31" s="51"/>
      <c r="U31" s="43"/>
      <c r="V31" s="51"/>
      <c r="W31" s="43">
        <v>82</v>
      </c>
      <c r="X31" s="51"/>
      <c r="Y31" s="43"/>
      <c r="Z31" s="51"/>
      <c r="AA31" s="43">
        <v>71</v>
      </c>
      <c r="AB31" s="32">
        <f t="shared" si="0"/>
        <v>612</v>
      </c>
      <c r="AC31" s="18"/>
      <c r="AD31" s="13">
        <f t="shared" si="1"/>
        <v>76.5</v>
      </c>
    </row>
    <row r="32" spans="1:30" x14ac:dyDescent="0.3">
      <c r="A32" s="7">
        <v>25</v>
      </c>
      <c r="B32" s="50" t="s">
        <v>128</v>
      </c>
      <c r="C32" s="43">
        <v>72</v>
      </c>
      <c r="D32" s="43">
        <v>83</v>
      </c>
      <c r="E32" s="43">
        <v>82</v>
      </c>
      <c r="F32" s="51"/>
      <c r="G32" s="43"/>
      <c r="H32" s="43">
        <v>77</v>
      </c>
      <c r="I32" s="51"/>
      <c r="J32" s="43"/>
      <c r="K32" s="51"/>
      <c r="L32" s="43">
        <v>70</v>
      </c>
      <c r="M32" s="43">
        <v>70</v>
      </c>
      <c r="N32" s="43"/>
      <c r="O32" s="51"/>
      <c r="P32" s="51"/>
      <c r="Q32" s="51"/>
      <c r="R32" s="43"/>
      <c r="S32" s="43"/>
      <c r="T32" s="43"/>
      <c r="U32" s="51"/>
      <c r="V32" s="43">
        <v>82</v>
      </c>
      <c r="W32" s="51"/>
      <c r="X32" s="51"/>
      <c r="Y32" s="43"/>
      <c r="Z32" s="43">
        <v>73</v>
      </c>
      <c r="AA32" s="43"/>
      <c r="AB32" s="32">
        <f t="shared" si="0"/>
        <v>609</v>
      </c>
      <c r="AC32" s="18"/>
      <c r="AD32" s="13">
        <f t="shared" si="1"/>
        <v>76.125</v>
      </c>
    </row>
    <row r="33" spans="1:30" x14ac:dyDescent="0.3">
      <c r="A33" s="7">
        <v>26</v>
      </c>
      <c r="B33" s="56" t="s">
        <v>157</v>
      </c>
      <c r="C33" s="43">
        <v>60</v>
      </c>
      <c r="D33" s="43">
        <v>79</v>
      </c>
      <c r="E33" s="51"/>
      <c r="F33" s="51"/>
      <c r="G33" s="43"/>
      <c r="H33" s="43"/>
      <c r="I33" s="43">
        <v>80</v>
      </c>
      <c r="J33" s="51"/>
      <c r="K33" s="43">
        <v>88</v>
      </c>
      <c r="L33" s="43">
        <v>75</v>
      </c>
      <c r="M33" s="43"/>
      <c r="N33" s="43">
        <v>62</v>
      </c>
      <c r="O33" s="51"/>
      <c r="P33" s="51"/>
      <c r="Q33" s="51"/>
      <c r="R33" s="43"/>
      <c r="S33" s="43"/>
      <c r="T33" s="43"/>
      <c r="U33" s="51"/>
      <c r="V33" s="51"/>
      <c r="W33" s="43">
        <v>83</v>
      </c>
      <c r="X33" s="51"/>
      <c r="Y33" s="51"/>
      <c r="Z33" s="51"/>
      <c r="AA33" s="43">
        <v>80</v>
      </c>
      <c r="AB33" s="32">
        <f t="shared" si="0"/>
        <v>607</v>
      </c>
      <c r="AC33" s="18"/>
      <c r="AD33" s="13">
        <f t="shared" si="1"/>
        <v>75.875</v>
      </c>
    </row>
    <row r="34" spans="1:30" x14ac:dyDescent="0.3">
      <c r="A34" s="7">
        <v>27</v>
      </c>
      <c r="B34" s="50" t="s">
        <v>55</v>
      </c>
      <c r="C34" s="43">
        <v>73</v>
      </c>
      <c r="D34" s="43">
        <v>83</v>
      </c>
      <c r="E34" s="43">
        <v>83</v>
      </c>
      <c r="F34" s="43"/>
      <c r="G34" s="43"/>
      <c r="H34" s="43"/>
      <c r="I34" s="43"/>
      <c r="J34" s="43"/>
      <c r="K34" s="43"/>
      <c r="L34" s="43">
        <v>82</v>
      </c>
      <c r="M34" s="43">
        <v>72</v>
      </c>
      <c r="N34" s="43"/>
      <c r="O34" s="51"/>
      <c r="P34" s="51"/>
      <c r="Q34" s="51"/>
      <c r="R34" s="43"/>
      <c r="S34" s="51"/>
      <c r="T34" s="51"/>
      <c r="U34" s="43">
        <v>72</v>
      </c>
      <c r="V34" s="51"/>
      <c r="W34" s="43"/>
      <c r="X34" s="43">
        <v>58</v>
      </c>
      <c r="Y34" s="43"/>
      <c r="Z34" s="43">
        <v>81</v>
      </c>
      <c r="AA34" s="43"/>
      <c r="AB34" s="32">
        <f t="shared" si="0"/>
        <v>604</v>
      </c>
      <c r="AC34" s="18"/>
      <c r="AD34" s="13">
        <f t="shared" si="1"/>
        <v>75.5</v>
      </c>
    </row>
    <row r="35" spans="1:30" x14ac:dyDescent="0.3">
      <c r="A35" s="7">
        <v>28</v>
      </c>
      <c r="B35" s="46" t="s">
        <v>15</v>
      </c>
      <c r="C35" s="43">
        <v>79</v>
      </c>
      <c r="D35" s="43">
        <v>85</v>
      </c>
      <c r="E35" s="43"/>
      <c r="F35" s="43">
        <v>66</v>
      </c>
      <c r="G35" s="42"/>
      <c r="H35" s="40"/>
      <c r="I35" s="40"/>
      <c r="J35" s="40"/>
      <c r="K35" s="42"/>
      <c r="L35" s="43">
        <v>82</v>
      </c>
      <c r="M35" s="43">
        <v>75</v>
      </c>
      <c r="N35" s="52"/>
      <c r="O35" s="43"/>
      <c r="P35" s="43">
        <v>76</v>
      </c>
      <c r="Q35" s="43">
        <v>75</v>
      </c>
      <c r="R35" s="52"/>
      <c r="S35" s="40"/>
      <c r="T35" s="42"/>
      <c r="U35" s="43">
        <v>60</v>
      </c>
      <c r="V35" s="42"/>
      <c r="W35" s="42"/>
      <c r="X35" s="43"/>
      <c r="Y35" s="42"/>
      <c r="Z35" s="43">
        <v>76</v>
      </c>
      <c r="AA35" s="43"/>
      <c r="AB35" s="32">
        <f t="shared" si="0"/>
        <v>674</v>
      </c>
      <c r="AC35" s="18"/>
      <c r="AD35" s="13">
        <f t="shared" si="1"/>
        <v>74.888888888888886</v>
      </c>
    </row>
    <row r="36" spans="1:30" x14ac:dyDescent="0.3">
      <c r="A36" s="7">
        <v>29</v>
      </c>
      <c r="B36" s="50" t="s">
        <v>51</v>
      </c>
      <c r="C36" s="43">
        <v>69</v>
      </c>
      <c r="D36" s="43">
        <v>82</v>
      </c>
      <c r="E36" s="43">
        <v>80</v>
      </c>
      <c r="F36" s="52"/>
      <c r="G36" s="42"/>
      <c r="H36" s="43"/>
      <c r="I36" s="40"/>
      <c r="J36" s="40"/>
      <c r="K36" s="42"/>
      <c r="L36" s="43">
        <v>77</v>
      </c>
      <c r="M36" s="43">
        <v>70</v>
      </c>
      <c r="N36" s="52"/>
      <c r="O36" s="43"/>
      <c r="P36" s="43"/>
      <c r="Q36" s="40"/>
      <c r="R36" s="42"/>
      <c r="S36" s="42"/>
      <c r="T36" s="52"/>
      <c r="U36" s="43">
        <v>65</v>
      </c>
      <c r="V36" s="43"/>
      <c r="W36" s="40"/>
      <c r="X36" s="43">
        <v>75</v>
      </c>
      <c r="Y36" s="40"/>
      <c r="Z36" s="43">
        <v>76</v>
      </c>
      <c r="AA36" s="43"/>
      <c r="AB36" s="32">
        <f t="shared" si="0"/>
        <v>594</v>
      </c>
      <c r="AC36" s="18"/>
      <c r="AD36" s="13">
        <f t="shared" si="1"/>
        <v>74.25</v>
      </c>
    </row>
    <row r="37" spans="1:30" x14ac:dyDescent="0.3">
      <c r="A37" s="7">
        <v>30</v>
      </c>
      <c r="B37" s="56" t="s">
        <v>143</v>
      </c>
      <c r="C37" s="43">
        <v>59</v>
      </c>
      <c r="D37" s="43">
        <v>80</v>
      </c>
      <c r="E37" s="40"/>
      <c r="F37" s="43"/>
      <c r="G37" s="43"/>
      <c r="H37" s="43"/>
      <c r="I37" s="43">
        <v>82</v>
      </c>
      <c r="J37" s="40"/>
      <c r="K37" s="43">
        <v>89</v>
      </c>
      <c r="L37" s="43">
        <v>50</v>
      </c>
      <c r="M37" s="43"/>
      <c r="N37" s="43">
        <v>69</v>
      </c>
      <c r="O37" s="40"/>
      <c r="P37" s="52"/>
      <c r="Q37" s="40"/>
      <c r="R37" s="43"/>
      <c r="S37" s="42"/>
      <c r="T37" s="52"/>
      <c r="U37" s="43"/>
      <c r="V37" s="40"/>
      <c r="W37" s="43">
        <v>80</v>
      </c>
      <c r="X37" s="40"/>
      <c r="Y37" s="40"/>
      <c r="Z37" s="40"/>
      <c r="AA37" s="43">
        <v>82</v>
      </c>
      <c r="AB37" s="32">
        <f t="shared" si="0"/>
        <v>591</v>
      </c>
      <c r="AC37" s="18"/>
      <c r="AD37" s="13">
        <f t="shared" si="1"/>
        <v>73.875</v>
      </c>
    </row>
    <row r="38" spans="1:30" x14ac:dyDescent="0.3">
      <c r="A38" s="7">
        <v>31</v>
      </c>
      <c r="B38" s="50" t="s">
        <v>130</v>
      </c>
      <c r="C38" s="43">
        <v>62</v>
      </c>
      <c r="D38" s="43">
        <v>70</v>
      </c>
      <c r="E38" s="43">
        <v>81</v>
      </c>
      <c r="F38" s="43"/>
      <c r="G38" s="43"/>
      <c r="H38" s="43">
        <v>75</v>
      </c>
      <c r="I38" s="43"/>
      <c r="J38" s="43"/>
      <c r="K38" s="43"/>
      <c r="L38" s="43">
        <v>82</v>
      </c>
      <c r="M38" s="43">
        <v>65</v>
      </c>
      <c r="N38" s="43"/>
      <c r="O38" s="52"/>
      <c r="P38" s="52"/>
      <c r="Q38" s="52"/>
      <c r="R38" s="43"/>
      <c r="S38" s="40"/>
      <c r="T38" s="52"/>
      <c r="U38" s="43"/>
      <c r="V38" s="43">
        <v>77</v>
      </c>
      <c r="W38" s="43"/>
      <c r="X38" s="40"/>
      <c r="Y38" s="43"/>
      <c r="Z38" s="43">
        <v>69</v>
      </c>
      <c r="AA38" s="43"/>
      <c r="AB38" s="32">
        <f t="shared" si="0"/>
        <v>581</v>
      </c>
      <c r="AC38" s="18"/>
      <c r="AD38" s="13">
        <f t="shared" si="1"/>
        <v>72.625</v>
      </c>
    </row>
    <row r="39" spans="1:30" x14ac:dyDescent="0.3">
      <c r="A39" s="7">
        <v>32</v>
      </c>
      <c r="B39" s="50" t="s">
        <v>18</v>
      </c>
      <c r="C39" s="43">
        <v>73</v>
      </c>
      <c r="D39" s="43">
        <v>83</v>
      </c>
      <c r="E39" s="43"/>
      <c r="F39" s="43">
        <v>69</v>
      </c>
      <c r="G39" s="42"/>
      <c r="H39" s="42"/>
      <c r="I39" s="40"/>
      <c r="J39" s="40"/>
      <c r="K39" s="42"/>
      <c r="L39" s="43">
        <v>81</v>
      </c>
      <c r="M39" s="43">
        <v>81</v>
      </c>
      <c r="N39" s="44"/>
      <c r="O39" s="43"/>
      <c r="P39" s="43">
        <v>73</v>
      </c>
      <c r="Q39" s="43">
        <v>66</v>
      </c>
      <c r="R39" s="42"/>
      <c r="S39" s="40"/>
      <c r="T39" s="44"/>
      <c r="U39" s="43">
        <v>55</v>
      </c>
      <c r="V39" s="40"/>
      <c r="W39" s="40"/>
      <c r="X39" s="43"/>
      <c r="Y39" s="40"/>
      <c r="Z39" s="43">
        <v>72</v>
      </c>
      <c r="AA39" s="43"/>
      <c r="AB39" s="32">
        <f t="shared" si="0"/>
        <v>653</v>
      </c>
      <c r="AC39" s="18"/>
      <c r="AD39" s="13">
        <f t="shared" si="1"/>
        <v>72.555555555555557</v>
      </c>
    </row>
    <row r="40" spans="1:30" x14ac:dyDescent="0.3">
      <c r="A40" s="7">
        <v>33</v>
      </c>
      <c r="B40" s="50" t="s">
        <v>127</v>
      </c>
      <c r="C40" s="43">
        <v>72</v>
      </c>
      <c r="D40" s="43">
        <v>80</v>
      </c>
      <c r="E40" s="43">
        <v>79</v>
      </c>
      <c r="F40" s="43"/>
      <c r="G40" s="43"/>
      <c r="H40" s="43">
        <v>69</v>
      </c>
      <c r="I40" s="43"/>
      <c r="J40" s="42"/>
      <c r="K40" s="43"/>
      <c r="L40" s="43">
        <v>74</v>
      </c>
      <c r="M40" s="43">
        <v>52</v>
      </c>
      <c r="N40" s="43"/>
      <c r="O40" s="44"/>
      <c r="P40" s="40"/>
      <c r="Q40" s="44"/>
      <c r="R40" s="43"/>
      <c r="S40" s="42"/>
      <c r="T40" s="44"/>
      <c r="U40" s="43"/>
      <c r="V40" s="43">
        <v>83</v>
      </c>
      <c r="W40" s="43"/>
      <c r="X40" s="44"/>
      <c r="Y40" s="44"/>
      <c r="Z40" s="43">
        <v>70</v>
      </c>
      <c r="AA40" s="43"/>
      <c r="AB40" s="32">
        <f t="shared" ref="AB40:AB71" si="2">SUM(C40:AA40)</f>
        <v>579</v>
      </c>
      <c r="AC40" s="18"/>
      <c r="AD40" s="13">
        <f t="shared" ref="AD40:AD71" si="3">AVERAGE(C40:AA40)</f>
        <v>72.375</v>
      </c>
    </row>
    <row r="41" spans="1:30" x14ac:dyDescent="0.3">
      <c r="A41" s="7">
        <v>34</v>
      </c>
      <c r="B41" s="50" t="s">
        <v>17</v>
      </c>
      <c r="C41" s="43">
        <v>74</v>
      </c>
      <c r="D41" s="43">
        <v>84</v>
      </c>
      <c r="E41" s="43"/>
      <c r="F41" s="43">
        <v>68</v>
      </c>
      <c r="G41" s="43"/>
      <c r="H41" s="43"/>
      <c r="I41" s="43"/>
      <c r="J41" s="51"/>
      <c r="K41" s="43"/>
      <c r="L41" s="43">
        <v>80</v>
      </c>
      <c r="M41" s="43">
        <v>74</v>
      </c>
      <c r="N41" s="43"/>
      <c r="O41" s="43"/>
      <c r="P41" s="43">
        <v>73</v>
      </c>
      <c r="Q41" s="43">
        <v>53</v>
      </c>
      <c r="R41" s="43"/>
      <c r="S41" s="51"/>
      <c r="T41" s="51"/>
      <c r="U41" s="43">
        <v>62</v>
      </c>
      <c r="V41" s="51"/>
      <c r="W41" s="43"/>
      <c r="X41" s="43"/>
      <c r="Y41" s="51"/>
      <c r="Z41" s="43">
        <v>77</v>
      </c>
      <c r="AA41" s="43"/>
      <c r="AB41" s="32">
        <f t="shared" si="2"/>
        <v>645</v>
      </c>
      <c r="AC41" s="18"/>
      <c r="AD41" s="13">
        <f t="shared" si="3"/>
        <v>71.666666666666671</v>
      </c>
    </row>
    <row r="42" spans="1:30" x14ac:dyDescent="0.3">
      <c r="A42" s="7">
        <v>35</v>
      </c>
      <c r="B42" s="50" t="s">
        <v>41</v>
      </c>
      <c r="C42" s="43">
        <v>76</v>
      </c>
      <c r="D42" s="43">
        <v>80</v>
      </c>
      <c r="E42" s="43">
        <v>52</v>
      </c>
      <c r="F42" s="43"/>
      <c r="G42" s="43"/>
      <c r="H42" s="43"/>
      <c r="I42" s="40"/>
      <c r="J42" s="40"/>
      <c r="K42" s="42"/>
      <c r="L42" s="43">
        <v>68</v>
      </c>
      <c r="M42" s="43">
        <v>76</v>
      </c>
      <c r="N42" s="43"/>
      <c r="O42" s="43">
        <v>73</v>
      </c>
      <c r="P42" s="43">
        <v>77</v>
      </c>
      <c r="Q42" s="43"/>
      <c r="R42" s="43"/>
      <c r="S42" s="42"/>
      <c r="T42" s="44"/>
      <c r="U42" s="43"/>
      <c r="V42" s="40"/>
      <c r="W42" s="40"/>
      <c r="X42" s="43"/>
      <c r="Y42" s="40"/>
      <c r="Z42" s="43">
        <v>69</v>
      </c>
      <c r="AA42" s="43">
        <v>68</v>
      </c>
      <c r="AB42" s="32">
        <f t="shared" si="2"/>
        <v>639</v>
      </c>
      <c r="AC42" s="18"/>
      <c r="AD42" s="13">
        <f t="shared" si="3"/>
        <v>71</v>
      </c>
    </row>
    <row r="43" spans="1:30" x14ac:dyDescent="0.3">
      <c r="A43" s="7">
        <v>36</v>
      </c>
      <c r="B43" s="56" t="s">
        <v>87</v>
      </c>
      <c r="C43" s="43">
        <v>73</v>
      </c>
      <c r="D43" s="43">
        <v>80</v>
      </c>
      <c r="E43" s="43"/>
      <c r="F43" s="51"/>
      <c r="G43" s="43">
        <v>54</v>
      </c>
      <c r="H43" s="43">
        <v>65</v>
      </c>
      <c r="I43" s="51"/>
      <c r="J43" s="51"/>
      <c r="K43" s="51"/>
      <c r="L43" s="43">
        <v>65</v>
      </c>
      <c r="M43" s="43"/>
      <c r="N43" s="43">
        <v>79</v>
      </c>
      <c r="O43" s="43"/>
      <c r="P43" s="43"/>
      <c r="Q43" s="51"/>
      <c r="R43" s="43">
        <v>65</v>
      </c>
      <c r="S43" s="51"/>
      <c r="T43" s="51"/>
      <c r="U43" s="43"/>
      <c r="V43" s="43"/>
      <c r="W43" s="43"/>
      <c r="X43" s="43"/>
      <c r="Y43" s="51"/>
      <c r="Z43" s="43"/>
      <c r="AA43" s="43">
        <v>83</v>
      </c>
      <c r="AB43" s="32">
        <f t="shared" si="2"/>
        <v>564</v>
      </c>
      <c r="AC43" s="18"/>
      <c r="AD43" s="13">
        <f t="shared" si="3"/>
        <v>70.5</v>
      </c>
    </row>
    <row r="44" spans="1:30" x14ac:dyDescent="0.3">
      <c r="A44" s="7">
        <v>37</v>
      </c>
      <c r="B44" s="50" t="s">
        <v>32</v>
      </c>
      <c r="C44" s="43">
        <v>69</v>
      </c>
      <c r="D44" s="43">
        <v>65</v>
      </c>
      <c r="E44" s="43">
        <v>56</v>
      </c>
      <c r="F44" s="43"/>
      <c r="G44" s="43"/>
      <c r="H44" s="43"/>
      <c r="I44" s="40"/>
      <c r="J44" s="40"/>
      <c r="K44" s="52"/>
      <c r="L44" s="43">
        <v>77</v>
      </c>
      <c r="M44" s="43">
        <v>75</v>
      </c>
      <c r="N44" s="43"/>
      <c r="O44" s="43">
        <v>78</v>
      </c>
      <c r="P44" s="43">
        <v>65</v>
      </c>
      <c r="Q44" s="40"/>
      <c r="R44" s="43"/>
      <c r="S44" s="42"/>
      <c r="T44" s="52"/>
      <c r="U44" s="43"/>
      <c r="V44" s="43"/>
      <c r="W44" s="40"/>
      <c r="X44" s="40"/>
      <c r="Y44" s="40"/>
      <c r="Z44" s="43">
        <v>62</v>
      </c>
      <c r="AA44" s="43">
        <v>65</v>
      </c>
      <c r="AB44" s="32">
        <f t="shared" si="2"/>
        <v>612</v>
      </c>
      <c r="AC44" s="18"/>
      <c r="AD44" s="13">
        <f t="shared" si="3"/>
        <v>68</v>
      </c>
    </row>
    <row r="45" spans="1:30" x14ac:dyDescent="0.3">
      <c r="A45" s="7">
        <v>38</v>
      </c>
      <c r="B45" s="56" t="s">
        <v>88</v>
      </c>
      <c r="C45" s="43">
        <v>82</v>
      </c>
      <c r="D45" s="43">
        <v>75</v>
      </c>
      <c r="E45" s="43"/>
      <c r="F45" s="43"/>
      <c r="G45" s="43">
        <v>52</v>
      </c>
      <c r="H45" s="43">
        <v>38</v>
      </c>
      <c r="I45" s="40"/>
      <c r="J45" s="40"/>
      <c r="K45" s="40"/>
      <c r="L45" s="43">
        <v>76</v>
      </c>
      <c r="M45" s="43"/>
      <c r="N45" s="43">
        <v>71</v>
      </c>
      <c r="O45" s="43"/>
      <c r="P45" s="43"/>
      <c r="Q45" s="40"/>
      <c r="R45" s="43">
        <v>52</v>
      </c>
      <c r="S45" s="54"/>
      <c r="T45" s="54"/>
      <c r="U45" s="43"/>
      <c r="V45" s="40"/>
      <c r="W45" s="40"/>
      <c r="X45" s="43"/>
      <c r="Y45" s="40"/>
      <c r="Z45" s="43"/>
      <c r="AA45" s="43">
        <v>79</v>
      </c>
      <c r="AB45" s="32">
        <f t="shared" si="2"/>
        <v>525</v>
      </c>
      <c r="AC45" s="18"/>
      <c r="AD45" s="13">
        <f t="shared" si="3"/>
        <v>65.625</v>
      </c>
    </row>
    <row r="46" spans="1:30" x14ac:dyDescent="0.3">
      <c r="A46" s="7">
        <v>39</v>
      </c>
      <c r="B46" s="50" t="s">
        <v>119</v>
      </c>
      <c r="C46" s="43">
        <v>62</v>
      </c>
      <c r="D46" s="43">
        <v>76</v>
      </c>
      <c r="E46" s="43"/>
      <c r="F46" s="43"/>
      <c r="G46" s="43"/>
      <c r="H46" s="43">
        <v>44</v>
      </c>
      <c r="I46" s="43"/>
      <c r="J46" s="40"/>
      <c r="K46" s="43"/>
      <c r="L46" s="43">
        <v>66</v>
      </c>
      <c r="M46" s="43">
        <v>52</v>
      </c>
      <c r="N46" s="43"/>
      <c r="O46" s="40"/>
      <c r="P46" s="54"/>
      <c r="Q46" s="42"/>
      <c r="R46" s="43"/>
      <c r="S46" s="43">
        <v>85</v>
      </c>
      <c r="T46" s="43">
        <v>70</v>
      </c>
      <c r="U46" s="43"/>
      <c r="V46" s="40"/>
      <c r="W46" s="43"/>
      <c r="X46" s="43"/>
      <c r="Y46" s="40"/>
      <c r="Z46" s="43"/>
      <c r="AA46" s="43">
        <v>66</v>
      </c>
      <c r="AB46" s="32">
        <f t="shared" si="2"/>
        <v>521</v>
      </c>
      <c r="AC46" s="18"/>
      <c r="AD46" s="13">
        <f t="shared" si="3"/>
        <v>65.125</v>
      </c>
    </row>
    <row r="47" spans="1:30" x14ac:dyDescent="0.3">
      <c r="A47" s="7">
        <v>40</v>
      </c>
      <c r="B47" s="50" t="s">
        <v>60</v>
      </c>
      <c r="C47" s="43">
        <v>65</v>
      </c>
      <c r="D47" s="43">
        <v>74</v>
      </c>
      <c r="E47" s="43">
        <v>65</v>
      </c>
      <c r="F47" s="43"/>
      <c r="G47" s="51"/>
      <c r="H47" s="43"/>
      <c r="I47" s="43"/>
      <c r="J47" s="51"/>
      <c r="K47" s="43"/>
      <c r="L47" s="43">
        <v>65</v>
      </c>
      <c r="M47" s="43">
        <v>62</v>
      </c>
      <c r="N47" s="43"/>
      <c r="O47" s="43"/>
      <c r="P47" s="43"/>
      <c r="Q47" s="51"/>
      <c r="R47" s="51"/>
      <c r="S47" s="51"/>
      <c r="T47" s="51"/>
      <c r="U47" s="43">
        <v>59</v>
      </c>
      <c r="V47" s="43"/>
      <c r="W47" s="43"/>
      <c r="X47" s="43">
        <v>65</v>
      </c>
      <c r="Y47" s="51"/>
      <c r="Z47" s="43">
        <v>58</v>
      </c>
      <c r="AA47" s="43"/>
      <c r="AB47" s="32">
        <f t="shared" si="2"/>
        <v>513</v>
      </c>
      <c r="AC47" s="18"/>
      <c r="AD47" s="13">
        <f t="shared" si="3"/>
        <v>64.125</v>
      </c>
    </row>
    <row r="48" spans="1:30" x14ac:dyDescent="0.3">
      <c r="A48" s="7">
        <v>41</v>
      </c>
      <c r="B48" s="50" t="s">
        <v>61</v>
      </c>
      <c r="C48" s="43">
        <v>74</v>
      </c>
      <c r="D48" s="43">
        <v>77</v>
      </c>
      <c r="E48" s="43">
        <v>62</v>
      </c>
      <c r="F48" s="43"/>
      <c r="G48" s="43"/>
      <c r="H48" s="43"/>
      <c r="I48" s="40"/>
      <c r="J48" s="40"/>
      <c r="K48" s="40"/>
      <c r="L48" s="43">
        <v>65</v>
      </c>
      <c r="M48" s="43">
        <v>65</v>
      </c>
      <c r="N48" s="43"/>
      <c r="O48" s="40"/>
      <c r="P48" s="54"/>
      <c r="Q48" s="42"/>
      <c r="R48" s="43"/>
      <c r="S48" s="43"/>
      <c r="T48" s="43"/>
      <c r="U48" s="43">
        <v>50</v>
      </c>
      <c r="V48" s="40"/>
      <c r="W48" s="40"/>
      <c r="X48" s="43">
        <v>68</v>
      </c>
      <c r="Y48" s="40"/>
      <c r="Z48" s="43">
        <v>51</v>
      </c>
      <c r="AA48" s="43"/>
      <c r="AB48" s="32">
        <f t="shared" si="2"/>
        <v>512</v>
      </c>
      <c r="AC48" s="18"/>
      <c r="AD48" s="13">
        <f t="shared" si="3"/>
        <v>64</v>
      </c>
    </row>
    <row r="49" spans="1:30" x14ac:dyDescent="0.3">
      <c r="A49" s="7">
        <v>42</v>
      </c>
      <c r="B49" s="50" t="s">
        <v>43</v>
      </c>
      <c r="C49" s="43">
        <v>44</v>
      </c>
      <c r="D49" s="43">
        <v>71</v>
      </c>
      <c r="E49" s="43">
        <v>76</v>
      </c>
      <c r="F49" s="43"/>
      <c r="G49" s="43"/>
      <c r="H49" s="43"/>
      <c r="I49" s="40"/>
      <c r="J49" s="43"/>
      <c r="K49" s="40"/>
      <c r="L49" s="43">
        <v>72</v>
      </c>
      <c r="M49" s="43">
        <v>55</v>
      </c>
      <c r="N49" s="43"/>
      <c r="O49" s="43">
        <v>69</v>
      </c>
      <c r="P49" s="43">
        <v>65</v>
      </c>
      <c r="Q49" s="42"/>
      <c r="R49" s="43"/>
      <c r="S49" s="43"/>
      <c r="T49" s="43"/>
      <c r="U49" s="43"/>
      <c r="V49" s="40"/>
      <c r="W49" s="40"/>
      <c r="X49" s="40"/>
      <c r="Y49" s="43"/>
      <c r="Z49" s="43">
        <v>54</v>
      </c>
      <c r="AA49" s="43">
        <v>62</v>
      </c>
      <c r="AB49" s="32">
        <f t="shared" si="2"/>
        <v>568</v>
      </c>
      <c r="AC49" s="18"/>
      <c r="AD49" s="13">
        <f t="shared" si="3"/>
        <v>63.111111111111114</v>
      </c>
    </row>
    <row r="50" spans="1:30" x14ac:dyDescent="0.3">
      <c r="A50" s="7">
        <v>43</v>
      </c>
      <c r="B50" s="50" t="s">
        <v>37</v>
      </c>
      <c r="C50" s="43">
        <v>55</v>
      </c>
      <c r="D50" s="43">
        <v>70</v>
      </c>
      <c r="E50" s="43">
        <v>75</v>
      </c>
      <c r="F50" s="43"/>
      <c r="G50" s="40"/>
      <c r="H50" s="43"/>
      <c r="I50" s="40"/>
      <c r="J50" s="42"/>
      <c r="K50" s="40"/>
      <c r="L50" s="43">
        <v>59</v>
      </c>
      <c r="M50" s="43">
        <v>62</v>
      </c>
      <c r="N50" s="42"/>
      <c r="O50" s="43">
        <v>77</v>
      </c>
      <c r="P50" s="43">
        <v>60</v>
      </c>
      <c r="Q50" s="42"/>
      <c r="R50" s="42"/>
      <c r="S50" s="40"/>
      <c r="T50" s="40"/>
      <c r="U50" s="43"/>
      <c r="V50" s="42"/>
      <c r="W50" s="42"/>
      <c r="X50" s="43"/>
      <c r="Y50" s="42"/>
      <c r="Z50" s="43">
        <v>38</v>
      </c>
      <c r="AA50" s="43">
        <v>71</v>
      </c>
      <c r="AB50" s="32">
        <f t="shared" si="2"/>
        <v>567</v>
      </c>
      <c r="AC50" s="18"/>
      <c r="AD50" s="13">
        <f t="shared" si="3"/>
        <v>63</v>
      </c>
    </row>
    <row r="51" spans="1:30" x14ac:dyDescent="0.3">
      <c r="A51" s="7">
        <v>44</v>
      </c>
      <c r="B51" s="50" t="s">
        <v>57</v>
      </c>
      <c r="C51" s="43">
        <v>54</v>
      </c>
      <c r="D51" s="43">
        <v>71</v>
      </c>
      <c r="E51" s="43">
        <v>65</v>
      </c>
      <c r="F51" s="51"/>
      <c r="G51" s="43"/>
      <c r="H51" s="43"/>
      <c r="I51" s="43"/>
      <c r="J51" s="51"/>
      <c r="K51" s="43"/>
      <c r="L51" s="43">
        <v>65</v>
      </c>
      <c r="M51" s="43">
        <v>69</v>
      </c>
      <c r="N51" s="43"/>
      <c r="O51" s="51"/>
      <c r="P51" s="51"/>
      <c r="Q51" s="51"/>
      <c r="R51" s="43"/>
      <c r="S51" s="43"/>
      <c r="T51" s="43"/>
      <c r="U51" s="43">
        <v>65</v>
      </c>
      <c r="V51" s="43"/>
      <c r="W51" s="43"/>
      <c r="X51" s="43">
        <v>65</v>
      </c>
      <c r="Y51" s="51"/>
      <c r="Z51" s="43">
        <v>44</v>
      </c>
      <c r="AA51" s="43"/>
      <c r="AB51" s="32">
        <f t="shared" si="2"/>
        <v>498</v>
      </c>
      <c r="AC51" s="18"/>
      <c r="AD51" s="13">
        <f t="shared" si="3"/>
        <v>62.25</v>
      </c>
    </row>
    <row r="52" spans="1:30" x14ac:dyDescent="0.3">
      <c r="A52" s="7">
        <v>45</v>
      </c>
      <c r="B52" s="50" t="s">
        <v>40</v>
      </c>
      <c r="C52" s="43">
        <v>60</v>
      </c>
      <c r="D52" s="43">
        <v>77</v>
      </c>
      <c r="E52" s="43">
        <v>75</v>
      </c>
      <c r="F52" s="43"/>
      <c r="G52" s="43"/>
      <c r="H52" s="43"/>
      <c r="I52" s="40"/>
      <c r="J52" s="40"/>
      <c r="K52" s="40"/>
      <c r="L52" s="43">
        <v>60</v>
      </c>
      <c r="M52" s="43">
        <v>60</v>
      </c>
      <c r="N52" s="43"/>
      <c r="O52" s="43">
        <v>55</v>
      </c>
      <c r="P52" s="43">
        <v>55</v>
      </c>
      <c r="Q52" s="43"/>
      <c r="R52" s="43"/>
      <c r="S52" s="43"/>
      <c r="T52" s="43"/>
      <c r="U52" s="43"/>
      <c r="V52" s="43"/>
      <c r="W52" s="40"/>
      <c r="X52" s="40"/>
      <c r="Y52" s="40"/>
      <c r="Z52" s="43">
        <v>62</v>
      </c>
      <c r="AA52" s="43">
        <v>53</v>
      </c>
      <c r="AB52" s="32">
        <f t="shared" si="2"/>
        <v>557</v>
      </c>
      <c r="AC52" s="18"/>
      <c r="AD52" s="13">
        <f t="shared" si="3"/>
        <v>61.888888888888886</v>
      </c>
    </row>
    <row r="53" spans="1:30" x14ac:dyDescent="0.3">
      <c r="A53" s="7">
        <v>46</v>
      </c>
      <c r="B53" s="46" t="s">
        <v>36</v>
      </c>
      <c r="C53" s="43">
        <v>62</v>
      </c>
      <c r="D53" s="43">
        <v>65</v>
      </c>
      <c r="E53" s="43">
        <v>65</v>
      </c>
      <c r="F53" s="43"/>
      <c r="G53" s="44"/>
      <c r="H53" s="42"/>
      <c r="I53" s="40"/>
      <c r="J53" s="42"/>
      <c r="K53" s="40"/>
      <c r="L53" s="43">
        <v>54</v>
      </c>
      <c r="M53" s="43">
        <v>65</v>
      </c>
      <c r="N53" s="40"/>
      <c r="O53" s="43">
        <v>69</v>
      </c>
      <c r="P53" s="43">
        <v>52</v>
      </c>
      <c r="Q53" s="43"/>
      <c r="R53" s="40"/>
      <c r="S53" s="44"/>
      <c r="T53" s="44"/>
      <c r="U53" s="43"/>
      <c r="V53" s="42"/>
      <c r="W53" s="42"/>
      <c r="X53" s="42"/>
      <c r="Y53" s="42"/>
      <c r="Z53" s="43">
        <v>55</v>
      </c>
      <c r="AA53" s="43">
        <v>69</v>
      </c>
      <c r="AB53" s="32">
        <f t="shared" si="2"/>
        <v>556</v>
      </c>
      <c r="AC53" s="18"/>
      <c r="AD53" s="13">
        <f t="shared" si="3"/>
        <v>61.777777777777779</v>
      </c>
    </row>
    <row r="54" spans="1:30" x14ac:dyDescent="0.3">
      <c r="A54" s="7">
        <v>47</v>
      </c>
      <c r="B54" s="56" t="s">
        <v>136</v>
      </c>
      <c r="C54" s="43">
        <v>46</v>
      </c>
      <c r="D54" s="43">
        <v>67</v>
      </c>
      <c r="E54" s="40"/>
      <c r="F54" s="43"/>
      <c r="G54" s="43"/>
      <c r="H54" s="43"/>
      <c r="I54" s="40"/>
      <c r="J54" s="43">
        <v>77</v>
      </c>
      <c r="K54" s="42"/>
      <c r="L54" s="43">
        <v>52</v>
      </c>
      <c r="M54" s="43"/>
      <c r="N54" s="43">
        <v>52</v>
      </c>
      <c r="O54" s="52"/>
      <c r="P54" s="42"/>
      <c r="Q54" s="52"/>
      <c r="R54" s="43"/>
      <c r="S54" s="40"/>
      <c r="T54" s="52"/>
      <c r="U54" s="43"/>
      <c r="V54" s="40"/>
      <c r="W54" s="40"/>
      <c r="X54" s="40"/>
      <c r="Y54" s="43">
        <v>58</v>
      </c>
      <c r="Z54" s="40"/>
      <c r="AA54" s="43">
        <v>78</v>
      </c>
      <c r="AB54" s="32">
        <f t="shared" si="2"/>
        <v>430</v>
      </c>
      <c r="AC54" s="18"/>
      <c r="AD54" s="13">
        <f t="shared" si="3"/>
        <v>61.428571428571431</v>
      </c>
    </row>
    <row r="55" spans="1:30" x14ac:dyDescent="0.3">
      <c r="A55" s="7">
        <v>48</v>
      </c>
      <c r="B55" s="56" t="s">
        <v>150</v>
      </c>
      <c r="C55" s="43">
        <v>66</v>
      </c>
      <c r="D55" s="43">
        <v>70</v>
      </c>
      <c r="E55" s="40"/>
      <c r="F55" s="43"/>
      <c r="G55" s="43"/>
      <c r="H55" s="43"/>
      <c r="I55" s="43">
        <v>53</v>
      </c>
      <c r="J55" s="43"/>
      <c r="K55" s="43">
        <v>65</v>
      </c>
      <c r="L55" s="43">
        <v>54</v>
      </c>
      <c r="M55" s="43"/>
      <c r="N55" s="43">
        <v>62</v>
      </c>
      <c r="O55" s="40"/>
      <c r="P55" s="44"/>
      <c r="Q55" s="40"/>
      <c r="R55" s="43"/>
      <c r="S55" s="44"/>
      <c r="T55" s="44"/>
      <c r="U55" s="43"/>
      <c r="V55" s="40"/>
      <c r="W55" s="43">
        <v>66</v>
      </c>
      <c r="X55" s="40"/>
      <c r="Y55" s="43"/>
      <c r="Z55" s="40"/>
      <c r="AA55" s="43">
        <v>55</v>
      </c>
      <c r="AB55" s="32">
        <f t="shared" si="2"/>
        <v>491</v>
      </c>
      <c r="AC55" s="18"/>
      <c r="AD55" s="13">
        <f t="shared" si="3"/>
        <v>61.375</v>
      </c>
    </row>
    <row r="56" spans="1:30" x14ac:dyDescent="0.3">
      <c r="A56" s="7">
        <v>49</v>
      </c>
      <c r="B56" s="50" t="s">
        <v>122</v>
      </c>
      <c r="C56" s="43">
        <v>60</v>
      </c>
      <c r="D56" s="43">
        <v>75</v>
      </c>
      <c r="E56" s="43"/>
      <c r="F56" s="51"/>
      <c r="G56" s="43"/>
      <c r="H56" s="43">
        <v>40</v>
      </c>
      <c r="I56" s="51"/>
      <c r="J56" s="51"/>
      <c r="K56" s="51"/>
      <c r="L56" s="43">
        <v>32</v>
      </c>
      <c r="M56" s="43">
        <v>49</v>
      </c>
      <c r="N56" s="43"/>
      <c r="O56" s="51"/>
      <c r="P56" s="51"/>
      <c r="Q56" s="51"/>
      <c r="R56" s="43"/>
      <c r="S56" s="43">
        <v>82</v>
      </c>
      <c r="T56" s="43">
        <v>82</v>
      </c>
      <c r="U56" s="43"/>
      <c r="V56" s="43"/>
      <c r="W56" s="43"/>
      <c r="X56" s="43"/>
      <c r="Y56" s="51"/>
      <c r="Z56" s="43"/>
      <c r="AA56" s="43">
        <v>70</v>
      </c>
      <c r="AB56" s="32">
        <f t="shared" si="2"/>
        <v>490</v>
      </c>
      <c r="AC56" s="18"/>
      <c r="AD56" s="13">
        <f t="shared" si="3"/>
        <v>61.25</v>
      </c>
    </row>
    <row r="57" spans="1:30" x14ac:dyDescent="0.3">
      <c r="A57" s="7">
        <v>50</v>
      </c>
      <c r="B57" s="50" t="s">
        <v>113</v>
      </c>
      <c r="C57" s="43">
        <v>61</v>
      </c>
      <c r="D57" s="43">
        <v>80</v>
      </c>
      <c r="E57" s="43"/>
      <c r="F57" s="43"/>
      <c r="G57" s="43"/>
      <c r="H57" s="43">
        <v>35</v>
      </c>
      <c r="I57" s="40"/>
      <c r="J57" s="43"/>
      <c r="K57" s="40"/>
      <c r="L57" s="43">
        <v>46</v>
      </c>
      <c r="M57" s="43">
        <v>51</v>
      </c>
      <c r="N57" s="43"/>
      <c r="O57" s="42"/>
      <c r="P57" s="40"/>
      <c r="Q57" s="40"/>
      <c r="R57" s="43"/>
      <c r="S57" s="43">
        <v>47</v>
      </c>
      <c r="T57" s="43">
        <v>85</v>
      </c>
      <c r="U57" s="43"/>
      <c r="V57" s="42"/>
      <c r="W57" s="42"/>
      <c r="X57" s="43"/>
      <c r="Y57" s="43"/>
      <c r="Z57" s="43"/>
      <c r="AA57" s="43">
        <v>83</v>
      </c>
      <c r="AB57" s="32">
        <f t="shared" si="2"/>
        <v>488</v>
      </c>
      <c r="AC57" s="18"/>
      <c r="AD57" s="13">
        <f t="shared" si="3"/>
        <v>61</v>
      </c>
    </row>
    <row r="58" spans="1:30" x14ac:dyDescent="0.3">
      <c r="A58" s="7">
        <v>51</v>
      </c>
      <c r="B58" s="56" t="s">
        <v>148</v>
      </c>
      <c r="C58" s="43">
        <v>62</v>
      </c>
      <c r="D58" s="43">
        <v>58</v>
      </c>
      <c r="E58" s="51"/>
      <c r="F58" s="51"/>
      <c r="G58" s="51"/>
      <c r="H58" s="43"/>
      <c r="I58" s="43">
        <v>52</v>
      </c>
      <c r="J58" s="43"/>
      <c r="K58" s="43">
        <v>72</v>
      </c>
      <c r="L58" s="43">
        <v>50</v>
      </c>
      <c r="M58" s="43"/>
      <c r="N58" s="43">
        <v>52</v>
      </c>
      <c r="O58" s="51"/>
      <c r="P58" s="51"/>
      <c r="Q58" s="51"/>
      <c r="R58" s="51"/>
      <c r="S58" s="43"/>
      <c r="T58" s="43"/>
      <c r="U58" s="51"/>
      <c r="V58" s="51"/>
      <c r="W58" s="43">
        <v>75</v>
      </c>
      <c r="X58" s="51"/>
      <c r="Y58" s="43"/>
      <c r="Z58" s="51"/>
      <c r="AA58" s="43">
        <v>62</v>
      </c>
      <c r="AB58" s="32">
        <f t="shared" si="2"/>
        <v>483</v>
      </c>
      <c r="AC58" s="18"/>
      <c r="AD58" s="13">
        <f t="shared" si="3"/>
        <v>60.375</v>
      </c>
    </row>
    <row r="59" spans="1:30" x14ac:dyDescent="0.3">
      <c r="A59" s="7">
        <v>52</v>
      </c>
      <c r="B59" s="56" t="s">
        <v>149</v>
      </c>
      <c r="C59" s="43">
        <v>50</v>
      </c>
      <c r="D59" s="43">
        <v>62</v>
      </c>
      <c r="E59" s="43"/>
      <c r="F59" s="43"/>
      <c r="G59" s="42"/>
      <c r="H59" s="43"/>
      <c r="I59" s="43">
        <v>68</v>
      </c>
      <c r="J59" s="40"/>
      <c r="K59" s="43">
        <v>77</v>
      </c>
      <c r="L59" s="43">
        <v>44</v>
      </c>
      <c r="M59" s="43"/>
      <c r="N59" s="43">
        <v>50</v>
      </c>
      <c r="O59" s="43"/>
      <c r="P59" s="43"/>
      <c r="Q59" s="43"/>
      <c r="R59" s="42"/>
      <c r="S59" s="40"/>
      <c r="T59" s="52"/>
      <c r="U59" s="43"/>
      <c r="V59" s="40"/>
      <c r="W59" s="43">
        <v>55</v>
      </c>
      <c r="X59" s="43"/>
      <c r="Y59" s="40"/>
      <c r="Z59" s="43"/>
      <c r="AA59" s="43">
        <v>76</v>
      </c>
      <c r="AB59" s="32">
        <f t="shared" si="2"/>
        <v>482</v>
      </c>
      <c r="AC59" s="18"/>
      <c r="AD59" s="13">
        <f t="shared" si="3"/>
        <v>60.25</v>
      </c>
    </row>
    <row r="60" spans="1:30" x14ac:dyDescent="0.3">
      <c r="A60" s="7">
        <v>53</v>
      </c>
      <c r="B60" s="50" t="s">
        <v>34</v>
      </c>
      <c r="C60" s="43">
        <v>50</v>
      </c>
      <c r="D60" s="43">
        <v>69</v>
      </c>
      <c r="E60" s="43">
        <v>62</v>
      </c>
      <c r="F60" s="44"/>
      <c r="G60" s="43"/>
      <c r="H60" s="43"/>
      <c r="I60" s="40"/>
      <c r="J60" s="40"/>
      <c r="K60" s="42"/>
      <c r="L60" s="43">
        <v>60</v>
      </c>
      <c r="M60" s="43">
        <v>55</v>
      </c>
      <c r="N60" s="43"/>
      <c r="O60" s="43">
        <v>75</v>
      </c>
      <c r="P60" s="43">
        <v>60</v>
      </c>
      <c r="Q60" s="40"/>
      <c r="R60" s="43"/>
      <c r="S60" s="44"/>
      <c r="T60" s="42"/>
      <c r="U60" s="43"/>
      <c r="V60" s="40"/>
      <c r="W60" s="40"/>
      <c r="X60" s="43"/>
      <c r="Y60" s="40"/>
      <c r="Z60" s="43">
        <v>39</v>
      </c>
      <c r="AA60" s="43">
        <v>72</v>
      </c>
      <c r="AB60" s="32">
        <f t="shared" si="2"/>
        <v>542</v>
      </c>
      <c r="AC60" s="18"/>
      <c r="AD60" s="13">
        <f t="shared" si="3"/>
        <v>60.222222222222221</v>
      </c>
    </row>
    <row r="61" spans="1:30" x14ac:dyDescent="0.3">
      <c r="A61" s="7">
        <v>54</v>
      </c>
      <c r="B61" s="56" t="s">
        <v>145</v>
      </c>
      <c r="C61" s="43">
        <v>42</v>
      </c>
      <c r="D61" s="43">
        <v>65</v>
      </c>
      <c r="E61" s="51"/>
      <c r="F61" s="51"/>
      <c r="G61" s="43"/>
      <c r="H61" s="43"/>
      <c r="I61" s="43">
        <v>62</v>
      </c>
      <c r="J61" s="51"/>
      <c r="K61" s="43">
        <v>75</v>
      </c>
      <c r="L61" s="43">
        <v>47</v>
      </c>
      <c r="M61" s="51"/>
      <c r="N61" s="43">
        <v>54</v>
      </c>
      <c r="O61" s="51"/>
      <c r="P61" s="51"/>
      <c r="Q61" s="51"/>
      <c r="R61" s="43"/>
      <c r="S61" s="51"/>
      <c r="T61" s="51"/>
      <c r="U61" s="51"/>
      <c r="V61" s="51"/>
      <c r="W61" s="43">
        <v>77</v>
      </c>
      <c r="X61" s="51"/>
      <c r="Y61" s="51"/>
      <c r="Z61" s="51"/>
      <c r="AA61" s="43">
        <v>58</v>
      </c>
      <c r="AB61" s="32">
        <f t="shared" si="2"/>
        <v>480</v>
      </c>
      <c r="AC61" s="18"/>
      <c r="AD61" s="13">
        <f t="shared" si="3"/>
        <v>60</v>
      </c>
    </row>
    <row r="62" spans="1:30" x14ac:dyDescent="0.3">
      <c r="A62" s="7">
        <v>55</v>
      </c>
      <c r="B62" s="50" t="s">
        <v>52</v>
      </c>
      <c r="C62" s="43">
        <v>62</v>
      </c>
      <c r="D62" s="43">
        <v>73</v>
      </c>
      <c r="E62" s="43">
        <v>56</v>
      </c>
      <c r="F62" s="52"/>
      <c r="G62" s="43"/>
      <c r="H62" s="43"/>
      <c r="I62" s="40"/>
      <c r="J62" s="42"/>
      <c r="K62" s="40"/>
      <c r="L62" s="43">
        <v>65</v>
      </c>
      <c r="M62" s="43">
        <v>65</v>
      </c>
      <c r="N62" s="43"/>
      <c r="O62" s="52"/>
      <c r="P62" s="40"/>
      <c r="Q62" s="52"/>
      <c r="R62" s="43"/>
      <c r="S62" s="43"/>
      <c r="T62" s="43"/>
      <c r="U62" s="43">
        <v>55</v>
      </c>
      <c r="V62" s="42"/>
      <c r="W62" s="42"/>
      <c r="X62" s="43">
        <v>55</v>
      </c>
      <c r="Y62" s="42"/>
      <c r="Z62" s="43">
        <v>46</v>
      </c>
      <c r="AA62" s="43"/>
      <c r="AB62" s="32">
        <f t="shared" si="2"/>
        <v>477</v>
      </c>
      <c r="AC62" s="18"/>
      <c r="AD62" s="13">
        <f t="shared" si="3"/>
        <v>59.625</v>
      </c>
    </row>
    <row r="63" spans="1:30" x14ac:dyDescent="0.3">
      <c r="A63" s="7">
        <v>56</v>
      </c>
      <c r="B63" s="56" t="s">
        <v>151</v>
      </c>
      <c r="C63" s="43">
        <v>50</v>
      </c>
      <c r="D63" s="43">
        <v>77</v>
      </c>
      <c r="E63" s="40"/>
      <c r="F63" s="52"/>
      <c r="G63" s="43"/>
      <c r="H63" s="43"/>
      <c r="I63" s="43">
        <v>72</v>
      </c>
      <c r="J63" s="40"/>
      <c r="K63" s="43">
        <v>65</v>
      </c>
      <c r="L63" s="43">
        <v>39</v>
      </c>
      <c r="M63" s="52"/>
      <c r="N63" s="43">
        <v>58</v>
      </c>
      <c r="O63" s="52"/>
      <c r="P63" s="42"/>
      <c r="Q63" s="52"/>
      <c r="R63" s="43"/>
      <c r="S63" s="40"/>
      <c r="T63" s="52"/>
      <c r="U63" s="52"/>
      <c r="V63" s="40"/>
      <c r="W63" s="43">
        <v>62</v>
      </c>
      <c r="X63" s="40"/>
      <c r="Y63" s="40"/>
      <c r="Z63" s="40"/>
      <c r="AA63" s="43">
        <v>53</v>
      </c>
      <c r="AB63" s="32">
        <f t="shared" si="2"/>
        <v>476</v>
      </c>
      <c r="AC63" s="18"/>
      <c r="AD63" s="13">
        <f t="shared" si="3"/>
        <v>59.5</v>
      </c>
    </row>
    <row r="64" spans="1:30" x14ac:dyDescent="0.3">
      <c r="A64" s="7">
        <v>57</v>
      </c>
      <c r="B64" s="50" t="s">
        <v>42</v>
      </c>
      <c r="C64" s="43">
        <v>51</v>
      </c>
      <c r="D64" s="43">
        <v>77</v>
      </c>
      <c r="E64" s="43">
        <v>68</v>
      </c>
      <c r="F64" s="43"/>
      <c r="G64" s="51"/>
      <c r="H64" s="43"/>
      <c r="I64" s="51"/>
      <c r="J64" s="51"/>
      <c r="K64" s="51"/>
      <c r="L64" s="43">
        <v>61</v>
      </c>
      <c r="M64" s="43">
        <v>58</v>
      </c>
      <c r="N64" s="51"/>
      <c r="O64" s="43">
        <v>69</v>
      </c>
      <c r="P64" s="43">
        <v>38</v>
      </c>
      <c r="Q64" s="51"/>
      <c r="R64" s="51"/>
      <c r="S64" s="51"/>
      <c r="T64" s="51"/>
      <c r="U64" s="43"/>
      <c r="V64" s="43"/>
      <c r="W64" s="43"/>
      <c r="X64" s="43"/>
      <c r="Y64" s="51"/>
      <c r="Z64" s="43">
        <v>51</v>
      </c>
      <c r="AA64" s="43">
        <v>60</v>
      </c>
      <c r="AB64" s="32">
        <f t="shared" si="2"/>
        <v>533</v>
      </c>
      <c r="AC64" s="18"/>
      <c r="AD64" s="13">
        <f t="shared" si="3"/>
        <v>59.222222222222221</v>
      </c>
    </row>
    <row r="65" spans="1:30" x14ac:dyDescent="0.3">
      <c r="A65" s="7">
        <v>58</v>
      </c>
      <c r="B65" s="56" t="s">
        <v>84</v>
      </c>
      <c r="C65" s="43">
        <v>40</v>
      </c>
      <c r="D65" s="43">
        <v>60</v>
      </c>
      <c r="E65" s="43"/>
      <c r="F65" s="43"/>
      <c r="G65" s="43">
        <v>69</v>
      </c>
      <c r="H65" s="43">
        <v>54</v>
      </c>
      <c r="I65" s="43"/>
      <c r="J65" s="42"/>
      <c r="K65" s="43"/>
      <c r="L65" s="43">
        <v>60</v>
      </c>
      <c r="M65" s="43"/>
      <c r="N65" s="43">
        <v>81</v>
      </c>
      <c r="O65" s="44"/>
      <c r="P65" s="44"/>
      <c r="Q65" s="44"/>
      <c r="R65" s="43">
        <v>44</v>
      </c>
      <c r="S65" s="42"/>
      <c r="T65" s="44"/>
      <c r="U65" s="43"/>
      <c r="V65" s="42"/>
      <c r="W65" s="43"/>
      <c r="X65" s="43"/>
      <c r="Y65" s="42"/>
      <c r="Z65" s="43"/>
      <c r="AA65" s="43">
        <v>58</v>
      </c>
      <c r="AB65" s="32">
        <f t="shared" si="2"/>
        <v>466</v>
      </c>
      <c r="AC65" s="18"/>
      <c r="AD65" s="13">
        <f t="shared" si="3"/>
        <v>58.25</v>
      </c>
    </row>
    <row r="66" spans="1:30" x14ac:dyDescent="0.3">
      <c r="A66" s="7">
        <v>59</v>
      </c>
      <c r="B66" s="56" t="s">
        <v>156</v>
      </c>
      <c r="C66" s="43">
        <v>55</v>
      </c>
      <c r="D66" s="43">
        <v>65</v>
      </c>
      <c r="E66" s="43"/>
      <c r="F66" s="43"/>
      <c r="G66" s="40"/>
      <c r="H66" s="43"/>
      <c r="I66" s="43">
        <v>57</v>
      </c>
      <c r="J66" s="43"/>
      <c r="K66" s="43">
        <v>77</v>
      </c>
      <c r="L66" s="43">
        <v>40</v>
      </c>
      <c r="M66" s="43"/>
      <c r="N66" s="43">
        <v>65</v>
      </c>
      <c r="O66" s="52"/>
      <c r="P66" s="43"/>
      <c r="Q66" s="43"/>
      <c r="R66" s="42"/>
      <c r="S66" s="42"/>
      <c r="T66" s="40"/>
      <c r="U66" s="43"/>
      <c r="V66" s="42"/>
      <c r="W66" s="43">
        <v>50</v>
      </c>
      <c r="X66" s="43"/>
      <c r="Y66" s="43"/>
      <c r="Z66" s="43"/>
      <c r="AA66" s="43">
        <v>54</v>
      </c>
      <c r="AB66" s="32">
        <f t="shared" si="2"/>
        <v>463</v>
      </c>
      <c r="AC66" s="18"/>
      <c r="AD66" s="13">
        <f t="shared" si="3"/>
        <v>57.875</v>
      </c>
    </row>
    <row r="67" spans="1:30" x14ac:dyDescent="0.3">
      <c r="A67" s="7">
        <v>60</v>
      </c>
      <c r="B67" s="50" t="s">
        <v>64</v>
      </c>
      <c r="C67" s="43">
        <v>62</v>
      </c>
      <c r="D67" s="43">
        <v>80</v>
      </c>
      <c r="E67" s="40"/>
      <c r="F67" s="43">
        <v>42</v>
      </c>
      <c r="G67" s="43"/>
      <c r="H67" s="43">
        <v>32</v>
      </c>
      <c r="I67" s="43"/>
      <c r="J67" s="42"/>
      <c r="K67" s="43"/>
      <c r="L67" s="43">
        <v>82</v>
      </c>
      <c r="M67" s="43">
        <v>48</v>
      </c>
      <c r="N67" s="43"/>
      <c r="O67" s="42"/>
      <c r="P67" s="40"/>
      <c r="Q67" s="42"/>
      <c r="R67" s="43"/>
      <c r="S67" s="43"/>
      <c r="T67" s="43"/>
      <c r="U67" s="43">
        <v>32</v>
      </c>
      <c r="V67" s="42"/>
      <c r="W67" s="43"/>
      <c r="X67" s="42"/>
      <c r="Y67" s="42"/>
      <c r="Z67" s="42"/>
      <c r="AA67" s="43">
        <v>79</v>
      </c>
      <c r="AB67" s="32">
        <f t="shared" si="2"/>
        <v>457</v>
      </c>
      <c r="AC67" s="18"/>
      <c r="AD67" s="13">
        <f t="shared" si="3"/>
        <v>57.125</v>
      </c>
    </row>
    <row r="68" spans="1:30" x14ac:dyDescent="0.3">
      <c r="A68" s="7">
        <v>61</v>
      </c>
      <c r="B68" s="50" t="s">
        <v>39</v>
      </c>
      <c r="C68" s="43">
        <v>45</v>
      </c>
      <c r="D68" s="43">
        <v>65</v>
      </c>
      <c r="E68" s="43">
        <v>55</v>
      </c>
      <c r="F68" s="43"/>
      <c r="G68" s="42"/>
      <c r="H68" s="43"/>
      <c r="I68" s="40"/>
      <c r="J68" s="43"/>
      <c r="K68" s="42"/>
      <c r="L68" s="43">
        <v>53</v>
      </c>
      <c r="M68" s="43">
        <v>58</v>
      </c>
      <c r="N68" s="43"/>
      <c r="O68" s="43">
        <v>65</v>
      </c>
      <c r="P68" s="43">
        <v>53</v>
      </c>
      <c r="Q68" s="42"/>
      <c r="R68" s="40"/>
      <c r="S68" s="43"/>
      <c r="T68" s="43"/>
      <c r="U68" s="43"/>
      <c r="V68" s="40"/>
      <c r="W68" s="40"/>
      <c r="X68" s="43"/>
      <c r="Y68" s="43"/>
      <c r="Z68" s="43">
        <v>52</v>
      </c>
      <c r="AA68" s="43">
        <v>58</v>
      </c>
      <c r="AB68" s="32">
        <f t="shared" si="2"/>
        <v>504</v>
      </c>
      <c r="AC68" s="18"/>
      <c r="AD68" s="13">
        <f t="shared" si="3"/>
        <v>56</v>
      </c>
    </row>
    <row r="69" spans="1:30" x14ac:dyDescent="0.3">
      <c r="A69" s="7">
        <v>62</v>
      </c>
      <c r="B69" s="50" t="s">
        <v>78</v>
      </c>
      <c r="C69" s="43">
        <v>63</v>
      </c>
      <c r="D69" s="43">
        <v>70</v>
      </c>
      <c r="E69" s="51"/>
      <c r="F69" s="43">
        <v>55</v>
      </c>
      <c r="G69" s="51"/>
      <c r="H69" s="43">
        <v>61</v>
      </c>
      <c r="I69" s="43"/>
      <c r="J69" s="43"/>
      <c r="K69" s="43"/>
      <c r="L69" s="43">
        <v>60</v>
      </c>
      <c r="M69" s="43">
        <v>58</v>
      </c>
      <c r="N69" s="43"/>
      <c r="O69" s="51"/>
      <c r="P69" s="51"/>
      <c r="Q69" s="51"/>
      <c r="R69" s="51"/>
      <c r="S69" s="51"/>
      <c r="T69" s="51"/>
      <c r="U69" s="43">
        <v>41</v>
      </c>
      <c r="V69" s="51"/>
      <c r="W69" s="43"/>
      <c r="X69" s="51"/>
      <c r="Y69" s="43"/>
      <c r="Z69" s="51"/>
      <c r="AA69" s="43">
        <v>40</v>
      </c>
      <c r="AB69" s="32">
        <f t="shared" si="2"/>
        <v>448</v>
      </c>
      <c r="AC69" s="18"/>
      <c r="AD69" s="13">
        <f t="shared" si="3"/>
        <v>56</v>
      </c>
    </row>
    <row r="70" spans="1:30" x14ac:dyDescent="0.3">
      <c r="A70" s="7">
        <v>63</v>
      </c>
      <c r="B70" s="56" t="s">
        <v>134</v>
      </c>
      <c r="C70" s="43">
        <v>60</v>
      </c>
      <c r="D70" s="43">
        <v>68</v>
      </c>
      <c r="E70" s="43"/>
      <c r="F70" s="43"/>
      <c r="G70" s="42"/>
      <c r="H70" s="43"/>
      <c r="I70" s="43"/>
      <c r="J70" s="43">
        <v>65</v>
      </c>
      <c r="K70" s="43"/>
      <c r="L70" s="43">
        <v>42</v>
      </c>
      <c r="M70" s="43"/>
      <c r="N70" s="43">
        <v>64</v>
      </c>
      <c r="O70" s="43"/>
      <c r="P70" s="43"/>
      <c r="Q70" s="42"/>
      <c r="R70" s="44"/>
      <c r="S70" s="44"/>
      <c r="T70" s="42"/>
      <c r="U70" s="43"/>
      <c r="V70" s="40"/>
      <c r="W70" s="43"/>
      <c r="X70" s="40"/>
      <c r="Y70" s="43">
        <v>48</v>
      </c>
      <c r="Z70" s="43"/>
      <c r="AA70" s="43">
        <v>44</v>
      </c>
      <c r="AB70" s="32">
        <f t="shared" si="2"/>
        <v>391</v>
      </c>
      <c r="AC70" s="18"/>
      <c r="AD70" s="13">
        <f t="shared" si="3"/>
        <v>55.857142857142854</v>
      </c>
    </row>
    <row r="71" spans="1:30" x14ac:dyDescent="0.3">
      <c r="A71" s="7">
        <v>64</v>
      </c>
      <c r="B71" s="56" t="s">
        <v>102</v>
      </c>
      <c r="C71" s="43">
        <v>42</v>
      </c>
      <c r="D71" s="43">
        <v>58</v>
      </c>
      <c r="E71" s="40"/>
      <c r="F71" s="43"/>
      <c r="G71" s="43">
        <v>52</v>
      </c>
      <c r="H71" s="43">
        <v>62</v>
      </c>
      <c r="I71" s="43"/>
      <c r="J71" s="42"/>
      <c r="K71" s="43"/>
      <c r="L71" s="43">
        <v>42</v>
      </c>
      <c r="M71" s="43"/>
      <c r="N71" s="43">
        <v>64</v>
      </c>
      <c r="O71" s="52"/>
      <c r="P71" s="52"/>
      <c r="Q71" s="52"/>
      <c r="R71" s="43">
        <v>44</v>
      </c>
      <c r="S71" s="43"/>
      <c r="T71" s="43"/>
      <c r="U71" s="43"/>
      <c r="V71" s="42"/>
      <c r="W71" s="43"/>
      <c r="X71" s="42"/>
      <c r="Y71" s="42"/>
      <c r="Z71" s="42"/>
      <c r="AA71" s="43">
        <v>77</v>
      </c>
      <c r="AB71" s="32">
        <f t="shared" si="2"/>
        <v>441</v>
      </c>
      <c r="AC71" s="18"/>
      <c r="AD71" s="13">
        <f t="shared" si="3"/>
        <v>55.125</v>
      </c>
    </row>
    <row r="72" spans="1:30" x14ac:dyDescent="0.3">
      <c r="A72" s="7">
        <v>65</v>
      </c>
      <c r="B72" s="56" t="s">
        <v>139</v>
      </c>
      <c r="C72" s="43">
        <v>42</v>
      </c>
      <c r="D72" s="43">
        <v>81</v>
      </c>
      <c r="E72" s="43"/>
      <c r="F72" s="42"/>
      <c r="G72" s="43"/>
      <c r="H72" s="43"/>
      <c r="I72" s="40"/>
      <c r="J72" s="43">
        <v>79</v>
      </c>
      <c r="K72" s="52"/>
      <c r="L72" s="43">
        <v>43</v>
      </c>
      <c r="M72" s="43"/>
      <c r="N72" s="43">
        <v>50</v>
      </c>
      <c r="O72" s="40"/>
      <c r="P72" s="52"/>
      <c r="Q72" s="40"/>
      <c r="R72" s="43"/>
      <c r="S72" s="43"/>
      <c r="T72" s="43"/>
      <c r="U72" s="43"/>
      <c r="V72" s="43"/>
      <c r="W72" s="40"/>
      <c r="X72" s="43"/>
      <c r="Y72" s="43">
        <v>52</v>
      </c>
      <c r="Z72" s="43"/>
      <c r="AA72" s="43">
        <v>38</v>
      </c>
      <c r="AB72" s="32">
        <f t="shared" ref="AB72:AB103" si="4">SUM(C72:AA72)</f>
        <v>385</v>
      </c>
      <c r="AC72" s="18"/>
      <c r="AD72" s="13">
        <f t="shared" ref="AD72:AD103" si="5">AVERAGE(C72:AA72)</f>
        <v>55</v>
      </c>
    </row>
    <row r="73" spans="1:30" x14ac:dyDescent="0.3">
      <c r="A73" s="7">
        <v>66</v>
      </c>
      <c r="B73" s="50" t="s">
        <v>38</v>
      </c>
      <c r="C73" s="43">
        <v>49</v>
      </c>
      <c r="D73" s="43">
        <v>65</v>
      </c>
      <c r="E73" s="43">
        <v>62</v>
      </c>
      <c r="F73" s="52"/>
      <c r="G73" s="43"/>
      <c r="H73" s="43"/>
      <c r="I73" s="40"/>
      <c r="J73" s="40"/>
      <c r="K73" s="42"/>
      <c r="L73" s="43">
        <v>51</v>
      </c>
      <c r="M73" s="43">
        <v>58</v>
      </c>
      <c r="N73" s="43"/>
      <c r="O73" s="43">
        <v>55</v>
      </c>
      <c r="P73" s="43">
        <v>45</v>
      </c>
      <c r="Q73" s="52"/>
      <c r="R73" s="43"/>
      <c r="S73" s="40"/>
      <c r="T73" s="52"/>
      <c r="U73" s="43"/>
      <c r="V73" s="40"/>
      <c r="W73" s="40"/>
      <c r="X73" s="43"/>
      <c r="Y73" s="40"/>
      <c r="Z73" s="43">
        <v>44</v>
      </c>
      <c r="AA73" s="43">
        <v>62</v>
      </c>
      <c r="AB73" s="32">
        <f t="shared" si="4"/>
        <v>491</v>
      </c>
      <c r="AC73" s="18"/>
      <c r="AD73" s="13">
        <f t="shared" si="5"/>
        <v>54.555555555555557</v>
      </c>
    </row>
    <row r="74" spans="1:30" x14ac:dyDescent="0.3">
      <c r="A74" s="7">
        <v>67</v>
      </c>
      <c r="B74" s="56" t="s">
        <v>144</v>
      </c>
      <c r="C74" s="43">
        <v>40</v>
      </c>
      <c r="D74" s="43">
        <v>70</v>
      </c>
      <c r="E74" s="43"/>
      <c r="F74" s="43"/>
      <c r="G74" s="43"/>
      <c r="H74" s="43"/>
      <c r="I74" s="43">
        <v>55</v>
      </c>
      <c r="J74" s="40"/>
      <c r="K74" s="43">
        <v>60</v>
      </c>
      <c r="L74" s="43">
        <v>39</v>
      </c>
      <c r="M74" s="43"/>
      <c r="N74" s="43">
        <v>38</v>
      </c>
      <c r="O74" s="40"/>
      <c r="P74" s="43"/>
      <c r="Q74" s="43"/>
      <c r="R74" s="43"/>
      <c r="S74" s="44"/>
      <c r="T74" s="42"/>
      <c r="U74" s="43"/>
      <c r="V74" s="40"/>
      <c r="W74" s="43">
        <v>75</v>
      </c>
      <c r="X74" s="43"/>
      <c r="Y74" s="40"/>
      <c r="Z74" s="43"/>
      <c r="AA74" s="43">
        <v>58</v>
      </c>
      <c r="AB74" s="32">
        <f t="shared" si="4"/>
        <v>435</v>
      </c>
      <c r="AC74" s="18"/>
      <c r="AD74" s="13">
        <f t="shared" si="5"/>
        <v>54.375</v>
      </c>
    </row>
    <row r="75" spans="1:30" x14ac:dyDescent="0.3">
      <c r="A75" s="7">
        <v>68</v>
      </c>
      <c r="B75" s="56" t="s">
        <v>154</v>
      </c>
      <c r="C75" s="43">
        <v>35</v>
      </c>
      <c r="D75" s="43">
        <v>65</v>
      </c>
      <c r="E75" s="43"/>
      <c r="F75" s="42"/>
      <c r="G75" s="43"/>
      <c r="H75" s="43"/>
      <c r="I75" s="43">
        <v>65</v>
      </c>
      <c r="J75" s="40"/>
      <c r="K75" s="43">
        <v>62</v>
      </c>
      <c r="L75" s="43">
        <v>39</v>
      </c>
      <c r="M75" s="43"/>
      <c r="N75" s="43">
        <v>52</v>
      </c>
      <c r="O75" s="43"/>
      <c r="P75" s="43"/>
      <c r="Q75" s="40"/>
      <c r="R75" s="43"/>
      <c r="S75" s="42"/>
      <c r="T75" s="52"/>
      <c r="U75" s="52"/>
      <c r="V75" s="40"/>
      <c r="W75" s="43">
        <v>60</v>
      </c>
      <c r="X75" s="40"/>
      <c r="Y75" s="40"/>
      <c r="Z75" s="43"/>
      <c r="AA75" s="43">
        <v>55</v>
      </c>
      <c r="AB75" s="32">
        <f t="shared" si="4"/>
        <v>433</v>
      </c>
      <c r="AC75" s="18"/>
      <c r="AD75" s="13">
        <f t="shared" si="5"/>
        <v>54.125</v>
      </c>
    </row>
    <row r="76" spans="1:30" x14ac:dyDescent="0.3">
      <c r="A76" s="7">
        <v>69</v>
      </c>
      <c r="B76" s="56" t="s">
        <v>155</v>
      </c>
      <c r="C76" s="43">
        <v>32</v>
      </c>
      <c r="D76" s="43">
        <v>55</v>
      </c>
      <c r="E76" s="43"/>
      <c r="F76" s="43"/>
      <c r="G76" s="43"/>
      <c r="H76" s="43"/>
      <c r="I76" s="43">
        <v>65</v>
      </c>
      <c r="J76" s="40"/>
      <c r="K76" s="43">
        <v>63</v>
      </c>
      <c r="L76" s="43">
        <v>52</v>
      </c>
      <c r="M76" s="43"/>
      <c r="N76" s="43">
        <v>54</v>
      </c>
      <c r="O76" s="40"/>
      <c r="P76" s="40"/>
      <c r="Q76" s="42"/>
      <c r="R76" s="43"/>
      <c r="S76" s="40"/>
      <c r="T76" s="40"/>
      <c r="U76" s="43"/>
      <c r="V76" s="40"/>
      <c r="W76" s="43">
        <v>69</v>
      </c>
      <c r="X76" s="43"/>
      <c r="Y76" s="40"/>
      <c r="Z76" s="43"/>
      <c r="AA76" s="43">
        <v>41</v>
      </c>
      <c r="AB76" s="32">
        <f t="shared" si="4"/>
        <v>431</v>
      </c>
      <c r="AC76" s="18"/>
      <c r="AD76" s="13">
        <f t="shared" si="5"/>
        <v>53.875</v>
      </c>
    </row>
    <row r="77" spans="1:30" x14ac:dyDescent="0.3">
      <c r="A77" s="7">
        <v>70</v>
      </c>
      <c r="B77" s="56" t="s">
        <v>101</v>
      </c>
      <c r="C77" s="43">
        <v>38</v>
      </c>
      <c r="D77" s="43">
        <v>62</v>
      </c>
      <c r="E77" s="40"/>
      <c r="F77" s="43"/>
      <c r="G77" s="43">
        <v>65</v>
      </c>
      <c r="H77" s="43">
        <v>40</v>
      </c>
      <c r="I77" s="43"/>
      <c r="J77" s="42"/>
      <c r="K77" s="43"/>
      <c r="L77" s="43">
        <v>44</v>
      </c>
      <c r="M77" s="43"/>
      <c r="N77" s="43">
        <v>69</v>
      </c>
      <c r="O77" s="42"/>
      <c r="P77" s="40"/>
      <c r="Q77" s="42"/>
      <c r="R77" s="43">
        <v>58</v>
      </c>
      <c r="S77" s="40"/>
      <c r="T77" s="40"/>
      <c r="U77" s="43"/>
      <c r="V77" s="42"/>
      <c r="W77" s="43"/>
      <c r="X77" s="42"/>
      <c r="Y77" s="42"/>
      <c r="Z77" s="42"/>
      <c r="AA77" s="43">
        <v>49</v>
      </c>
      <c r="AB77" s="32">
        <f t="shared" si="4"/>
        <v>425</v>
      </c>
      <c r="AC77" s="18"/>
      <c r="AD77" s="13">
        <f t="shared" si="5"/>
        <v>53.125</v>
      </c>
    </row>
    <row r="78" spans="1:30" x14ac:dyDescent="0.3">
      <c r="A78" s="7">
        <v>71</v>
      </c>
      <c r="B78" s="50" t="s">
        <v>111</v>
      </c>
      <c r="C78" s="43">
        <v>45</v>
      </c>
      <c r="D78" s="43">
        <v>77</v>
      </c>
      <c r="E78" s="40"/>
      <c r="F78" s="42"/>
      <c r="G78" s="43"/>
      <c r="H78" s="43">
        <v>33</v>
      </c>
      <c r="I78" s="40"/>
      <c r="J78" s="40"/>
      <c r="K78" s="42"/>
      <c r="L78" s="43">
        <v>32</v>
      </c>
      <c r="M78" s="43">
        <v>38</v>
      </c>
      <c r="N78" s="43"/>
      <c r="O78" s="44"/>
      <c r="P78" s="44"/>
      <c r="Q78" s="44"/>
      <c r="R78" s="43"/>
      <c r="S78" s="43">
        <v>46</v>
      </c>
      <c r="T78" s="43">
        <v>82</v>
      </c>
      <c r="U78" s="44"/>
      <c r="V78" s="40"/>
      <c r="W78" s="40"/>
      <c r="X78" s="40"/>
      <c r="Y78" s="40"/>
      <c r="Z78" s="40"/>
      <c r="AA78" s="43">
        <v>71</v>
      </c>
      <c r="AB78" s="32">
        <f t="shared" si="4"/>
        <v>424</v>
      </c>
      <c r="AC78" s="18"/>
      <c r="AD78" s="13">
        <f t="shared" si="5"/>
        <v>53</v>
      </c>
    </row>
    <row r="79" spans="1:30" x14ac:dyDescent="0.3">
      <c r="A79" s="7">
        <v>72</v>
      </c>
      <c r="B79" s="50" t="s">
        <v>120</v>
      </c>
      <c r="C79" s="43">
        <v>35</v>
      </c>
      <c r="D79" s="43">
        <v>69</v>
      </c>
      <c r="E79" s="40"/>
      <c r="F79" s="42"/>
      <c r="G79" s="43"/>
      <c r="H79" s="43">
        <v>40</v>
      </c>
      <c r="I79" s="43"/>
      <c r="J79" s="40"/>
      <c r="K79" s="43"/>
      <c r="L79" s="43">
        <v>33</v>
      </c>
      <c r="M79" s="43">
        <v>45</v>
      </c>
      <c r="N79" s="43"/>
      <c r="O79" s="42"/>
      <c r="P79" s="44"/>
      <c r="Q79" s="44"/>
      <c r="R79" s="43"/>
      <c r="S79" s="43">
        <v>66</v>
      </c>
      <c r="T79" s="43">
        <v>66</v>
      </c>
      <c r="U79" s="44"/>
      <c r="V79" s="40"/>
      <c r="W79" s="43"/>
      <c r="X79" s="40"/>
      <c r="Y79" s="40"/>
      <c r="Z79" s="40"/>
      <c r="AA79" s="43">
        <v>70</v>
      </c>
      <c r="AB79" s="32">
        <f t="shared" si="4"/>
        <v>424</v>
      </c>
      <c r="AC79" s="18"/>
      <c r="AD79" s="13">
        <f t="shared" si="5"/>
        <v>53</v>
      </c>
    </row>
    <row r="80" spans="1:30" x14ac:dyDescent="0.3">
      <c r="A80" s="7">
        <v>73</v>
      </c>
      <c r="B80" s="50" t="s">
        <v>67</v>
      </c>
      <c r="C80" s="43">
        <v>59</v>
      </c>
      <c r="D80" s="43">
        <v>70</v>
      </c>
      <c r="E80" s="43"/>
      <c r="F80" s="43">
        <v>58</v>
      </c>
      <c r="G80" s="52"/>
      <c r="H80" s="43">
        <v>50</v>
      </c>
      <c r="I80" s="40"/>
      <c r="J80" s="40"/>
      <c r="K80" s="52"/>
      <c r="L80" s="43">
        <v>42</v>
      </c>
      <c r="M80" s="43">
        <v>45</v>
      </c>
      <c r="N80" s="52"/>
      <c r="O80" s="43"/>
      <c r="P80" s="43"/>
      <c r="Q80" s="43"/>
      <c r="R80" s="52"/>
      <c r="S80" s="42"/>
      <c r="T80" s="52"/>
      <c r="U80" s="43">
        <v>44</v>
      </c>
      <c r="V80" s="40"/>
      <c r="W80" s="40"/>
      <c r="X80" s="40"/>
      <c r="Y80" s="40"/>
      <c r="Z80" s="43"/>
      <c r="AA80" s="43">
        <v>55</v>
      </c>
      <c r="AB80" s="32">
        <f t="shared" si="4"/>
        <v>423</v>
      </c>
      <c r="AC80" s="18"/>
      <c r="AD80" s="13">
        <f t="shared" si="5"/>
        <v>52.875</v>
      </c>
    </row>
    <row r="81" spans="1:30" x14ac:dyDescent="0.3">
      <c r="A81" s="7">
        <v>74</v>
      </c>
      <c r="B81" s="56" t="s">
        <v>105</v>
      </c>
      <c r="C81" s="43">
        <v>44</v>
      </c>
      <c r="D81" s="43">
        <v>65</v>
      </c>
      <c r="E81" s="43"/>
      <c r="F81" s="43"/>
      <c r="G81" s="43">
        <v>54</v>
      </c>
      <c r="H81" s="43">
        <v>59</v>
      </c>
      <c r="I81" s="40"/>
      <c r="J81" s="40"/>
      <c r="K81" s="42"/>
      <c r="L81" s="43">
        <v>42</v>
      </c>
      <c r="M81" s="43"/>
      <c r="N81" s="43">
        <v>65</v>
      </c>
      <c r="O81" s="43"/>
      <c r="P81" s="43"/>
      <c r="Q81" s="43"/>
      <c r="R81" s="43">
        <v>53</v>
      </c>
      <c r="S81" s="42"/>
      <c r="T81" s="55"/>
      <c r="U81" s="43"/>
      <c r="V81" s="40"/>
      <c r="W81" s="40"/>
      <c r="X81" s="40"/>
      <c r="Y81" s="40"/>
      <c r="Z81" s="43"/>
      <c r="AA81" s="43">
        <v>38</v>
      </c>
      <c r="AB81" s="32">
        <f t="shared" si="4"/>
        <v>420</v>
      </c>
      <c r="AC81" s="18"/>
      <c r="AD81" s="13">
        <f t="shared" si="5"/>
        <v>52.5</v>
      </c>
    </row>
    <row r="82" spans="1:30" x14ac:dyDescent="0.3">
      <c r="A82" s="7">
        <v>75</v>
      </c>
      <c r="B82" s="56" t="s">
        <v>147</v>
      </c>
      <c r="C82" s="43">
        <v>38</v>
      </c>
      <c r="D82" s="43">
        <v>69</v>
      </c>
      <c r="E82" s="51"/>
      <c r="F82" s="51"/>
      <c r="G82" s="43"/>
      <c r="H82" s="43"/>
      <c r="I82" s="43">
        <v>65</v>
      </c>
      <c r="J82" s="51"/>
      <c r="K82" s="43">
        <v>39</v>
      </c>
      <c r="L82" s="43">
        <v>42</v>
      </c>
      <c r="M82" s="43"/>
      <c r="N82" s="43">
        <v>44</v>
      </c>
      <c r="O82" s="51"/>
      <c r="P82" s="51"/>
      <c r="Q82" s="51"/>
      <c r="R82" s="43"/>
      <c r="S82" s="43"/>
      <c r="T82" s="43"/>
      <c r="U82" s="51"/>
      <c r="V82" s="51"/>
      <c r="W82" s="43">
        <v>53</v>
      </c>
      <c r="X82" s="51"/>
      <c r="Y82" s="51"/>
      <c r="Z82" s="51"/>
      <c r="AA82" s="43">
        <v>70</v>
      </c>
      <c r="AB82" s="32">
        <f t="shared" si="4"/>
        <v>420</v>
      </c>
      <c r="AC82" s="18"/>
      <c r="AD82" s="13">
        <f t="shared" si="5"/>
        <v>52.5</v>
      </c>
    </row>
    <row r="83" spans="1:30" x14ac:dyDescent="0.3">
      <c r="A83" s="7">
        <v>76</v>
      </c>
      <c r="B83" s="50" t="s">
        <v>116</v>
      </c>
      <c r="C83" s="43">
        <v>60</v>
      </c>
      <c r="D83" s="43">
        <v>66</v>
      </c>
      <c r="E83" s="42"/>
      <c r="F83" s="40"/>
      <c r="G83" s="43"/>
      <c r="H83" s="43">
        <v>42</v>
      </c>
      <c r="I83" s="40"/>
      <c r="J83" s="42"/>
      <c r="K83" s="40"/>
      <c r="L83" s="43">
        <v>39</v>
      </c>
      <c r="M83" s="43">
        <v>60</v>
      </c>
      <c r="N83" s="43"/>
      <c r="O83" s="42"/>
      <c r="P83" s="40"/>
      <c r="Q83" s="42"/>
      <c r="R83" s="43"/>
      <c r="S83" s="43">
        <v>42</v>
      </c>
      <c r="T83" s="43">
        <v>47</v>
      </c>
      <c r="U83" s="40"/>
      <c r="V83" s="42"/>
      <c r="W83" s="42"/>
      <c r="X83" s="42"/>
      <c r="Y83" s="42"/>
      <c r="Z83" s="42"/>
      <c r="AA83" s="43">
        <v>60</v>
      </c>
      <c r="AB83" s="32">
        <f t="shared" si="4"/>
        <v>416</v>
      </c>
      <c r="AC83" s="18"/>
      <c r="AD83" s="13">
        <f t="shared" si="5"/>
        <v>52</v>
      </c>
    </row>
    <row r="84" spans="1:30" x14ac:dyDescent="0.3">
      <c r="A84" s="7">
        <v>77</v>
      </c>
      <c r="B84" s="50" t="s">
        <v>58</v>
      </c>
      <c r="C84" s="43">
        <v>55</v>
      </c>
      <c r="D84" s="43">
        <v>82</v>
      </c>
      <c r="E84" s="43">
        <v>70</v>
      </c>
      <c r="F84" s="43"/>
      <c r="G84" s="44"/>
      <c r="H84" s="43"/>
      <c r="I84" s="40"/>
      <c r="J84" s="40"/>
      <c r="K84" s="42"/>
      <c r="L84" s="43">
        <v>39</v>
      </c>
      <c r="M84" s="43">
        <v>38</v>
      </c>
      <c r="N84" s="42"/>
      <c r="O84" s="40"/>
      <c r="P84" s="44"/>
      <c r="Q84" s="44"/>
      <c r="R84" s="42"/>
      <c r="S84" s="43"/>
      <c r="T84" s="43"/>
      <c r="U84" s="43">
        <v>39</v>
      </c>
      <c r="V84" s="43"/>
      <c r="W84" s="40"/>
      <c r="X84" s="43">
        <v>50</v>
      </c>
      <c r="Y84" s="40"/>
      <c r="Z84" s="43">
        <v>42</v>
      </c>
      <c r="AA84" s="43"/>
      <c r="AB84" s="32">
        <f t="shared" si="4"/>
        <v>415</v>
      </c>
      <c r="AC84" s="18"/>
      <c r="AD84" s="13">
        <f t="shared" si="5"/>
        <v>51.875</v>
      </c>
    </row>
    <row r="85" spans="1:30" x14ac:dyDescent="0.3">
      <c r="A85" s="7">
        <v>78</v>
      </c>
      <c r="B85" s="56" t="s">
        <v>104</v>
      </c>
      <c r="C85" s="43">
        <v>38</v>
      </c>
      <c r="D85" s="43">
        <v>62</v>
      </c>
      <c r="E85" s="40"/>
      <c r="F85" s="42"/>
      <c r="G85" s="43">
        <v>55</v>
      </c>
      <c r="H85" s="43">
        <v>50</v>
      </c>
      <c r="I85" s="40"/>
      <c r="J85" s="43"/>
      <c r="K85" s="40"/>
      <c r="L85" s="43">
        <v>52</v>
      </c>
      <c r="M85" s="43"/>
      <c r="N85" s="43">
        <v>54</v>
      </c>
      <c r="O85" s="42"/>
      <c r="P85" s="40"/>
      <c r="Q85" s="42"/>
      <c r="R85" s="43">
        <v>40</v>
      </c>
      <c r="S85" s="43"/>
      <c r="T85" s="43"/>
      <c r="U85" s="40"/>
      <c r="V85" s="40"/>
      <c r="W85" s="40"/>
      <c r="X85" s="40"/>
      <c r="Y85" s="43"/>
      <c r="Z85" s="40"/>
      <c r="AA85" s="43">
        <v>62</v>
      </c>
      <c r="AB85" s="32">
        <f t="shared" si="4"/>
        <v>413</v>
      </c>
      <c r="AC85" s="18"/>
      <c r="AD85" s="13">
        <f t="shared" si="5"/>
        <v>51.625</v>
      </c>
    </row>
    <row r="86" spans="1:30" x14ac:dyDescent="0.3">
      <c r="A86" s="7">
        <v>79</v>
      </c>
      <c r="B86" s="50" t="s">
        <v>118</v>
      </c>
      <c r="C86" s="43">
        <v>35</v>
      </c>
      <c r="D86" s="43">
        <v>80</v>
      </c>
      <c r="E86" s="43"/>
      <c r="F86" s="43"/>
      <c r="G86" s="52"/>
      <c r="H86" s="43">
        <v>33</v>
      </c>
      <c r="I86" s="43"/>
      <c r="J86" s="40"/>
      <c r="K86" s="43"/>
      <c r="L86" s="43">
        <v>47</v>
      </c>
      <c r="M86" s="43">
        <v>44</v>
      </c>
      <c r="N86" s="43"/>
      <c r="O86" s="43"/>
      <c r="P86" s="43"/>
      <c r="Q86" s="40"/>
      <c r="R86" s="52"/>
      <c r="S86" s="43">
        <v>52</v>
      </c>
      <c r="T86" s="43">
        <v>55</v>
      </c>
      <c r="U86" s="43"/>
      <c r="V86" s="40"/>
      <c r="W86" s="43"/>
      <c r="X86" s="43"/>
      <c r="Y86" s="40"/>
      <c r="Z86" s="43"/>
      <c r="AA86" s="43">
        <v>65</v>
      </c>
      <c r="AB86" s="32">
        <f t="shared" si="4"/>
        <v>411</v>
      </c>
      <c r="AC86" s="18"/>
      <c r="AD86" s="13">
        <f t="shared" si="5"/>
        <v>51.375</v>
      </c>
    </row>
    <row r="87" spans="1:30" x14ac:dyDescent="0.3">
      <c r="A87" s="7">
        <v>80</v>
      </c>
      <c r="B87" s="56" t="s">
        <v>152</v>
      </c>
      <c r="C87" s="43">
        <v>34</v>
      </c>
      <c r="D87" s="43">
        <v>54</v>
      </c>
      <c r="E87" s="40"/>
      <c r="F87" s="44"/>
      <c r="G87" s="43"/>
      <c r="H87" s="43"/>
      <c r="I87" s="43">
        <v>78</v>
      </c>
      <c r="J87" s="42"/>
      <c r="K87" s="43">
        <v>55</v>
      </c>
      <c r="L87" s="43">
        <v>44</v>
      </c>
      <c r="M87" s="44"/>
      <c r="N87" s="43">
        <v>54</v>
      </c>
      <c r="O87" s="42"/>
      <c r="P87" s="44"/>
      <c r="Q87" s="42"/>
      <c r="R87" s="43"/>
      <c r="S87" s="44"/>
      <c r="T87" s="44"/>
      <c r="U87" s="44"/>
      <c r="V87" s="42"/>
      <c r="W87" s="43">
        <v>39</v>
      </c>
      <c r="X87" s="42"/>
      <c r="Y87" s="42"/>
      <c r="Z87" s="42"/>
      <c r="AA87" s="43">
        <v>52</v>
      </c>
      <c r="AB87" s="32">
        <f t="shared" si="4"/>
        <v>410</v>
      </c>
      <c r="AC87" s="18"/>
      <c r="AD87" s="13">
        <f t="shared" si="5"/>
        <v>51.25</v>
      </c>
    </row>
    <row r="88" spans="1:30" x14ac:dyDescent="0.3">
      <c r="A88" s="7">
        <v>81</v>
      </c>
      <c r="B88" s="50" t="s">
        <v>35</v>
      </c>
      <c r="C88" s="43">
        <v>48</v>
      </c>
      <c r="D88" s="43">
        <v>82</v>
      </c>
      <c r="E88" s="43">
        <v>62</v>
      </c>
      <c r="F88" s="42"/>
      <c r="G88" s="44"/>
      <c r="H88" s="43"/>
      <c r="I88" s="40"/>
      <c r="J88" s="42"/>
      <c r="K88" s="40"/>
      <c r="L88" s="43">
        <v>38</v>
      </c>
      <c r="M88" s="43">
        <v>45</v>
      </c>
      <c r="N88" s="40"/>
      <c r="O88" s="43">
        <v>52</v>
      </c>
      <c r="P88" s="43">
        <v>34</v>
      </c>
      <c r="Q88" s="44"/>
      <c r="R88" s="40"/>
      <c r="S88" s="43"/>
      <c r="T88" s="43"/>
      <c r="U88" s="44"/>
      <c r="V88" s="43"/>
      <c r="W88" s="44"/>
      <c r="X88" s="44"/>
      <c r="Y88" s="44"/>
      <c r="Z88" s="43">
        <v>38</v>
      </c>
      <c r="AA88" s="43">
        <v>62</v>
      </c>
      <c r="AB88" s="32">
        <f t="shared" si="4"/>
        <v>461</v>
      </c>
      <c r="AC88" s="18"/>
      <c r="AD88" s="13">
        <f t="shared" si="5"/>
        <v>51.222222222222221</v>
      </c>
    </row>
    <row r="89" spans="1:30" x14ac:dyDescent="0.3">
      <c r="A89" s="7">
        <v>82</v>
      </c>
      <c r="B89" s="50" t="s">
        <v>112</v>
      </c>
      <c r="C89" s="43">
        <v>55</v>
      </c>
      <c r="D89" s="43">
        <v>69</v>
      </c>
      <c r="E89" s="42"/>
      <c r="F89" s="40"/>
      <c r="G89" s="43"/>
      <c r="H89" s="43">
        <v>39</v>
      </c>
      <c r="I89" s="40"/>
      <c r="J89" s="43"/>
      <c r="K89" s="42"/>
      <c r="L89" s="43">
        <v>53</v>
      </c>
      <c r="M89" s="43">
        <v>50</v>
      </c>
      <c r="N89" s="43"/>
      <c r="O89" s="44"/>
      <c r="P89" s="42"/>
      <c r="Q89" s="44"/>
      <c r="R89" s="43"/>
      <c r="S89" s="43">
        <v>38</v>
      </c>
      <c r="T89" s="43">
        <v>50</v>
      </c>
      <c r="U89" s="42"/>
      <c r="V89" s="44"/>
      <c r="W89" s="44"/>
      <c r="X89" s="44"/>
      <c r="Y89" s="43"/>
      <c r="Z89" s="44"/>
      <c r="AA89" s="43">
        <v>55</v>
      </c>
      <c r="AB89" s="32">
        <f t="shared" si="4"/>
        <v>409</v>
      </c>
      <c r="AC89" s="18"/>
      <c r="AD89" s="13">
        <f t="shared" si="5"/>
        <v>51.125</v>
      </c>
    </row>
    <row r="90" spans="1:30" x14ac:dyDescent="0.3">
      <c r="A90" s="7">
        <v>83</v>
      </c>
      <c r="B90" s="56" t="s">
        <v>158</v>
      </c>
      <c r="C90" s="43">
        <v>33</v>
      </c>
      <c r="D90" s="43">
        <v>69</v>
      </c>
      <c r="E90" s="42"/>
      <c r="F90" s="43"/>
      <c r="G90" s="43"/>
      <c r="H90" s="43"/>
      <c r="I90" s="43">
        <v>55</v>
      </c>
      <c r="J90" s="42"/>
      <c r="K90" s="43">
        <v>55</v>
      </c>
      <c r="L90" s="43">
        <v>42</v>
      </c>
      <c r="M90" s="43"/>
      <c r="N90" s="43">
        <v>38</v>
      </c>
      <c r="O90" s="42"/>
      <c r="P90" s="40"/>
      <c r="Q90" s="42"/>
      <c r="R90" s="43"/>
      <c r="S90" s="43"/>
      <c r="T90" s="43"/>
      <c r="U90" s="43"/>
      <c r="V90" s="42"/>
      <c r="W90" s="43">
        <v>55</v>
      </c>
      <c r="X90" s="42"/>
      <c r="Y90" s="42"/>
      <c r="Z90" s="42"/>
      <c r="AA90" s="43">
        <v>62</v>
      </c>
      <c r="AB90" s="32">
        <f t="shared" si="4"/>
        <v>409</v>
      </c>
      <c r="AC90" s="18"/>
      <c r="AD90" s="13">
        <f t="shared" si="5"/>
        <v>51.125</v>
      </c>
    </row>
    <row r="91" spans="1:30" x14ac:dyDescent="0.3">
      <c r="A91" s="7">
        <v>84</v>
      </c>
      <c r="B91" s="50" t="s">
        <v>70</v>
      </c>
      <c r="C91" s="43">
        <v>58</v>
      </c>
      <c r="D91" s="43">
        <v>74</v>
      </c>
      <c r="E91" s="43"/>
      <c r="F91" s="43">
        <v>45</v>
      </c>
      <c r="G91" s="43"/>
      <c r="H91" s="43">
        <v>41</v>
      </c>
      <c r="I91" s="43"/>
      <c r="J91" s="51"/>
      <c r="K91" s="43"/>
      <c r="L91" s="43">
        <v>42</v>
      </c>
      <c r="M91" s="43">
        <v>39</v>
      </c>
      <c r="N91" s="43"/>
      <c r="O91" s="51"/>
      <c r="P91" s="51"/>
      <c r="Q91" s="51"/>
      <c r="R91" s="43"/>
      <c r="S91" s="51"/>
      <c r="T91" s="51"/>
      <c r="U91" s="43">
        <v>39</v>
      </c>
      <c r="V91" s="51"/>
      <c r="W91" s="43"/>
      <c r="X91" s="43"/>
      <c r="Y91" s="51"/>
      <c r="Z91" s="43"/>
      <c r="AA91" s="43">
        <v>70</v>
      </c>
      <c r="AB91" s="32">
        <f t="shared" si="4"/>
        <v>408</v>
      </c>
      <c r="AC91" s="18"/>
      <c r="AD91" s="13">
        <f t="shared" si="5"/>
        <v>51</v>
      </c>
    </row>
    <row r="92" spans="1:30" x14ac:dyDescent="0.3">
      <c r="A92" s="7">
        <v>85</v>
      </c>
      <c r="B92" s="50" t="s">
        <v>69</v>
      </c>
      <c r="C92" s="43">
        <v>50</v>
      </c>
      <c r="D92" s="43">
        <v>76</v>
      </c>
      <c r="E92" s="40"/>
      <c r="F92" s="43">
        <v>41</v>
      </c>
      <c r="G92" s="43"/>
      <c r="H92" s="43">
        <v>51</v>
      </c>
      <c r="I92" s="43"/>
      <c r="J92" s="42"/>
      <c r="K92" s="43"/>
      <c r="L92" s="43">
        <v>41</v>
      </c>
      <c r="M92" s="43">
        <v>65</v>
      </c>
      <c r="N92" s="43"/>
      <c r="O92" s="42"/>
      <c r="P92" s="42"/>
      <c r="Q92" s="42"/>
      <c r="R92" s="43"/>
      <c r="S92" s="43"/>
      <c r="T92" s="43"/>
      <c r="U92" s="43">
        <v>33</v>
      </c>
      <c r="V92" s="42"/>
      <c r="W92" s="43"/>
      <c r="X92" s="42"/>
      <c r="Y92" s="42"/>
      <c r="Z92" s="42"/>
      <c r="AA92" s="43">
        <v>51</v>
      </c>
      <c r="AB92" s="32">
        <f t="shared" si="4"/>
        <v>408</v>
      </c>
      <c r="AC92" s="18"/>
      <c r="AD92" s="13">
        <f t="shared" si="5"/>
        <v>51</v>
      </c>
    </row>
    <row r="93" spans="1:30" x14ac:dyDescent="0.3">
      <c r="A93" s="7">
        <v>86</v>
      </c>
      <c r="B93" s="56" t="s">
        <v>85</v>
      </c>
      <c r="C93" s="43">
        <v>38</v>
      </c>
      <c r="D93" s="43">
        <v>65</v>
      </c>
      <c r="E93" s="43"/>
      <c r="F93" s="43"/>
      <c r="G93" s="43">
        <v>62</v>
      </c>
      <c r="H93" s="43">
        <v>38</v>
      </c>
      <c r="I93" s="40"/>
      <c r="J93" s="40"/>
      <c r="K93" s="40"/>
      <c r="L93" s="43">
        <v>38</v>
      </c>
      <c r="M93" s="43"/>
      <c r="N93" s="43">
        <v>55</v>
      </c>
      <c r="O93" s="43"/>
      <c r="P93" s="43"/>
      <c r="Q93" s="43"/>
      <c r="R93" s="43">
        <v>55</v>
      </c>
      <c r="S93" s="40"/>
      <c r="T93" s="40"/>
      <c r="U93" s="43"/>
      <c r="V93" s="40"/>
      <c r="W93" s="40"/>
      <c r="X93" s="43"/>
      <c r="Y93" s="40"/>
      <c r="Z93" s="43"/>
      <c r="AA93" s="43">
        <v>54</v>
      </c>
      <c r="AB93" s="32">
        <f t="shared" si="4"/>
        <v>405</v>
      </c>
      <c r="AC93" s="18"/>
      <c r="AD93" s="13">
        <f t="shared" si="5"/>
        <v>50.625</v>
      </c>
    </row>
    <row r="94" spans="1:30" x14ac:dyDescent="0.3">
      <c r="A94" s="7">
        <v>87</v>
      </c>
      <c r="B94" s="56" t="s">
        <v>133</v>
      </c>
      <c r="C94" s="43">
        <v>52</v>
      </c>
      <c r="D94" s="43">
        <v>49</v>
      </c>
      <c r="E94" s="42"/>
      <c r="F94" s="44"/>
      <c r="G94" s="40"/>
      <c r="H94" s="43"/>
      <c r="I94" s="43"/>
      <c r="J94" s="43">
        <v>60</v>
      </c>
      <c r="K94" s="43"/>
      <c r="L94" s="43">
        <v>44</v>
      </c>
      <c r="M94" s="43"/>
      <c r="N94" s="43">
        <v>41</v>
      </c>
      <c r="O94" s="44"/>
      <c r="P94" s="40"/>
      <c r="Q94" s="44"/>
      <c r="R94" s="42"/>
      <c r="S94" s="43"/>
      <c r="T94" s="43"/>
      <c r="U94" s="40"/>
      <c r="V94" s="44"/>
      <c r="W94" s="43"/>
      <c r="X94" s="44"/>
      <c r="Y94" s="43">
        <v>55</v>
      </c>
      <c r="Z94" s="44"/>
      <c r="AA94" s="43">
        <v>52</v>
      </c>
      <c r="AB94" s="32">
        <f t="shared" si="4"/>
        <v>353</v>
      </c>
      <c r="AC94" s="18"/>
      <c r="AD94" s="13">
        <f t="shared" si="5"/>
        <v>50.428571428571431</v>
      </c>
    </row>
    <row r="95" spans="1:30" x14ac:dyDescent="0.3">
      <c r="A95" s="7">
        <v>88</v>
      </c>
      <c r="B95" s="50" t="s">
        <v>71</v>
      </c>
      <c r="C95" s="43">
        <v>55</v>
      </c>
      <c r="D95" s="43">
        <v>77</v>
      </c>
      <c r="E95" s="43"/>
      <c r="F95" s="43">
        <v>41</v>
      </c>
      <c r="G95" s="52"/>
      <c r="H95" s="43">
        <v>49</v>
      </c>
      <c r="I95" s="40"/>
      <c r="J95" s="42"/>
      <c r="K95" s="40"/>
      <c r="L95" s="43">
        <v>37</v>
      </c>
      <c r="M95" s="43">
        <v>51</v>
      </c>
      <c r="N95" s="40"/>
      <c r="O95" s="43"/>
      <c r="P95" s="43"/>
      <c r="Q95" s="43"/>
      <c r="R95" s="40"/>
      <c r="S95" s="42"/>
      <c r="T95" s="52"/>
      <c r="U95" s="43">
        <v>28</v>
      </c>
      <c r="V95" s="42"/>
      <c r="W95" s="42"/>
      <c r="X95" s="42"/>
      <c r="Y95" s="42"/>
      <c r="Z95" s="43"/>
      <c r="AA95" s="43">
        <v>65</v>
      </c>
      <c r="AB95" s="32">
        <f t="shared" si="4"/>
        <v>403</v>
      </c>
      <c r="AC95" s="18"/>
      <c r="AD95" s="13">
        <f t="shared" si="5"/>
        <v>50.375</v>
      </c>
    </row>
    <row r="96" spans="1:30" x14ac:dyDescent="0.3">
      <c r="A96" s="7">
        <v>89</v>
      </c>
      <c r="B96" s="56" t="s">
        <v>137</v>
      </c>
      <c r="C96" s="43">
        <v>55</v>
      </c>
      <c r="D96" s="43">
        <v>50</v>
      </c>
      <c r="E96" s="42"/>
      <c r="F96" s="43"/>
      <c r="G96" s="43"/>
      <c r="H96" s="43"/>
      <c r="I96" s="40"/>
      <c r="J96" s="43">
        <v>53</v>
      </c>
      <c r="K96" s="42"/>
      <c r="L96" s="43">
        <v>44</v>
      </c>
      <c r="M96" s="43"/>
      <c r="N96" s="43">
        <v>39</v>
      </c>
      <c r="O96" s="52"/>
      <c r="P96" s="52"/>
      <c r="Q96" s="52"/>
      <c r="R96" s="43"/>
      <c r="S96" s="43"/>
      <c r="T96" s="43"/>
      <c r="U96" s="43"/>
      <c r="V96" s="42"/>
      <c r="W96" s="42"/>
      <c r="X96" s="42"/>
      <c r="Y96" s="43">
        <v>65</v>
      </c>
      <c r="Z96" s="42"/>
      <c r="AA96" s="43">
        <v>45</v>
      </c>
      <c r="AB96" s="32">
        <f t="shared" si="4"/>
        <v>351</v>
      </c>
      <c r="AC96" s="18"/>
      <c r="AD96" s="13">
        <f t="shared" si="5"/>
        <v>50.142857142857146</v>
      </c>
    </row>
    <row r="97" spans="1:30" x14ac:dyDescent="0.3">
      <c r="A97" s="7">
        <v>90</v>
      </c>
      <c r="B97" s="50" t="s">
        <v>115</v>
      </c>
      <c r="C97" s="43">
        <v>56</v>
      </c>
      <c r="D97" s="43">
        <v>65</v>
      </c>
      <c r="E97" s="43"/>
      <c r="F97" s="40"/>
      <c r="G97" s="43"/>
      <c r="H97" s="43">
        <v>35</v>
      </c>
      <c r="I97" s="40"/>
      <c r="J97" s="40"/>
      <c r="K97" s="42"/>
      <c r="L97" s="43">
        <v>45</v>
      </c>
      <c r="M97" s="43">
        <v>42</v>
      </c>
      <c r="N97" s="43"/>
      <c r="O97" s="43"/>
      <c r="P97" s="43"/>
      <c r="Q97" s="44"/>
      <c r="R97" s="43"/>
      <c r="S97" s="43">
        <v>52</v>
      </c>
      <c r="T97" s="43">
        <v>53</v>
      </c>
      <c r="U97" s="42"/>
      <c r="V97" s="40"/>
      <c r="W97" s="40"/>
      <c r="X97" s="40"/>
      <c r="Y97" s="40"/>
      <c r="Z97" s="43"/>
      <c r="AA97" s="43">
        <v>50</v>
      </c>
      <c r="AB97" s="32">
        <f t="shared" si="4"/>
        <v>398</v>
      </c>
      <c r="AC97" s="18"/>
      <c r="AD97" s="13">
        <f t="shared" si="5"/>
        <v>49.75</v>
      </c>
    </row>
    <row r="98" spans="1:30" x14ac:dyDescent="0.3">
      <c r="A98" s="7">
        <v>91</v>
      </c>
      <c r="B98" s="50" t="s">
        <v>56</v>
      </c>
      <c r="C98" s="43">
        <v>41</v>
      </c>
      <c r="D98" s="43">
        <v>69</v>
      </c>
      <c r="E98" s="43">
        <v>71</v>
      </c>
      <c r="F98" s="43"/>
      <c r="G98" s="43"/>
      <c r="H98" s="43"/>
      <c r="I98" s="40"/>
      <c r="J98" s="40"/>
      <c r="K98" s="40"/>
      <c r="L98" s="43">
        <v>50</v>
      </c>
      <c r="M98" s="43">
        <v>42</v>
      </c>
      <c r="N98" s="43"/>
      <c r="O98" s="43"/>
      <c r="P98" s="43"/>
      <c r="Q98" s="40"/>
      <c r="R98" s="43"/>
      <c r="S98" s="40"/>
      <c r="T98" s="40"/>
      <c r="U98" s="43">
        <v>44</v>
      </c>
      <c r="V98" s="43"/>
      <c r="W98" s="40"/>
      <c r="X98" s="43">
        <v>39</v>
      </c>
      <c r="Y98" s="40"/>
      <c r="Z98" s="43">
        <v>39</v>
      </c>
      <c r="AA98" s="43"/>
      <c r="AB98" s="32">
        <f t="shared" si="4"/>
        <v>395</v>
      </c>
      <c r="AC98" s="18"/>
      <c r="AD98" s="13">
        <f t="shared" si="5"/>
        <v>49.375</v>
      </c>
    </row>
    <row r="99" spans="1:30" x14ac:dyDescent="0.3">
      <c r="A99" s="7">
        <v>92</v>
      </c>
      <c r="B99" s="50" t="s">
        <v>76</v>
      </c>
      <c r="C99" s="43">
        <v>65</v>
      </c>
      <c r="D99" s="43">
        <v>62</v>
      </c>
      <c r="E99" s="43"/>
      <c r="F99" s="43">
        <v>41</v>
      </c>
      <c r="G99" s="42"/>
      <c r="H99" s="43">
        <v>41</v>
      </c>
      <c r="I99" s="40"/>
      <c r="J99" s="40"/>
      <c r="K99" s="42"/>
      <c r="L99" s="43">
        <v>48</v>
      </c>
      <c r="M99" s="43">
        <v>33</v>
      </c>
      <c r="N99" s="52"/>
      <c r="O99" s="43"/>
      <c r="P99" s="43"/>
      <c r="Q99" s="52"/>
      <c r="R99" s="52"/>
      <c r="S99" s="40"/>
      <c r="T99" s="42"/>
      <c r="U99" s="43">
        <v>42</v>
      </c>
      <c r="V99" s="40"/>
      <c r="W99" s="40"/>
      <c r="X99" s="43"/>
      <c r="Y99" s="40"/>
      <c r="Z99" s="43"/>
      <c r="AA99" s="43">
        <v>61</v>
      </c>
      <c r="AB99" s="32">
        <f t="shared" si="4"/>
        <v>393</v>
      </c>
      <c r="AC99" s="18"/>
      <c r="AD99" s="13">
        <f t="shared" si="5"/>
        <v>49.125</v>
      </c>
    </row>
    <row r="100" spans="1:30" x14ac:dyDescent="0.3">
      <c r="A100" s="7">
        <v>93</v>
      </c>
      <c r="B100" s="56" t="s">
        <v>83</v>
      </c>
      <c r="C100" s="43">
        <v>33</v>
      </c>
      <c r="D100" s="43">
        <v>62</v>
      </c>
      <c r="E100" s="43"/>
      <c r="F100" s="43"/>
      <c r="G100" s="43">
        <v>42</v>
      </c>
      <c r="H100" s="43">
        <v>54</v>
      </c>
      <c r="I100" s="40"/>
      <c r="J100" s="40"/>
      <c r="K100" s="42"/>
      <c r="L100" s="43">
        <v>42</v>
      </c>
      <c r="M100" s="43"/>
      <c r="N100" s="43">
        <v>38</v>
      </c>
      <c r="O100" s="43"/>
      <c r="P100" s="43"/>
      <c r="Q100" s="40"/>
      <c r="R100" s="43">
        <v>50</v>
      </c>
      <c r="S100" s="43"/>
      <c r="T100" s="43"/>
      <c r="U100" s="43"/>
      <c r="V100" s="40"/>
      <c r="W100" s="40"/>
      <c r="X100" s="43"/>
      <c r="Y100" s="40"/>
      <c r="Z100" s="43"/>
      <c r="AA100" s="43">
        <v>70</v>
      </c>
      <c r="AB100" s="32">
        <f t="shared" si="4"/>
        <v>391</v>
      </c>
      <c r="AC100" s="18"/>
      <c r="AD100" s="13">
        <f t="shared" si="5"/>
        <v>48.875</v>
      </c>
    </row>
    <row r="101" spans="1:30" x14ac:dyDescent="0.3">
      <c r="A101" s="7">
        <v>94</v>
      </c>
      <c r="B101" s="56" t="s">
        <v>100</v>
      </c>
      <c r="C101" s="43">
        <v>43</v>
      </c>
      <c r="D101" s="43">
        <v>70</v>
      </c>
      <c r="E101" s="43"/>
      <c r="F101" s="43"/>
      <c r="G101" s="43">
        <v>65</v>
      </c>
      <c r="H101" s="43">
        <v>38</v>
      </c>
      <c r="I101" s="40"/>
      <c r="J101" s="43"/>
      <c r="K101" s="42"/>
      <c r="L101" s="43">
        <v>33</v>
      </c>
      <c r="M101" s="43"/>
      <c r="N101" s="43">
        <v>43</v>
      </c>
      <c r="O101" s="40"/>
      <c r="P101" s="42"/>
      <c r="Q101" s="52"/>
      <c r="R101" s="43">
        <v>38</v>
      </c>
      <c r="S101" s="42"/>
      <c r="T101" s="52"/>
      <c r="U101" s="43"/>
      <c r="V101" s="40"/>
      <c r="W101" s="40"/>
      <c r="X101" s="43"/>
      <c r="Y101" s="43"/>
      <c r="Z101" s="43"/>
      <c r="AA101" s="43">
        <v>60</v>
      </c>
      <c r="AB101" s="32">
        <f t="shared" si="4"/>
        <v>390</v>
      </c>
      <c r="AC101" s="18"/>
      <c r="AD101" s="13">
        <f t="shared" si="5"/>
        <v>48.75</v>
      </c>
    </row>
    <row r="102" spans="1:30" x14ac:dyDescent="0.3">
      <c r="A102" s="7">
        <v>95</v>
      </c>
      <c r="B102" s="50" t="s">
        <v>59</v>
      </c>
      <c r="C102" s="43">
        <v>41</v>
      </c>
      <c r="D102" s="43">
        <v>70</v>
      </c>
      <c r="E102" s="43">
        <v>60</v>
      </c>
      <c r="F102" s="52"/>
      <c r="G102" s="52"/>
      <c r="H102" s="43"/>
      <c r="I102" s="43"/>
      <c r="J102" s="42"/>
      <c r="K102" s="43"/>
      <c r="L102" s="43">
        <v>42</v>
      </c>
      <c r="M102" s="43">
        <v>52</v>
      </c>
      <c r="N102" s="43"/>
      <c r="O102" s="52"/>
      <c r="P102" s="52"/>
      <c r="Q102" s="52"/>
      <c r="R102" s="40"/>
      <c r="S102" s="43"/>
      <c r="T102" s="43"/>
      <c r="U102" s="43">
        <v>29</v>
      </c>
      <c r="V102" s="43"/>
      <c r="W102" s="43"/>
      <c r="X102" s="43">
        <v>53</v>
      </c>
      <c r="Y102" s="42"/>
      <c r="Z102" s="43">
        <v>40</v>
      </c>
      <c r="AA102" s="43"/>
      <c r="AB102" s="32">
        <f t="shared" si="4"/>
        <v>387</v>
      </c>
      <c r="AC102" s="18"/>
      <c r="AD102" s="13">
        <f t="shared" si="5"/>
        <v>48.375</v>
      </c>
    </row>
    <row r="103" spans="1:30" x14ac:dyDescent="0.3">
      <c r="A103" s="7">
        <v>96</v>
      </c>
      <c r="B103" s="50" t="s">
        <v>66</v>
      </c>
      <c r="C103" s="43">
        <v>55</v>
      </c>
      <c r="D103" s="43">
        <v>71</v>
      </c>
      <c r="E103" s="43"/>
      <c r="F103" s="43">
        <v>33</v>
      </c>
      <c r="G103" s="43"/>
      <c r="H103" s="43">
        <v>45</v>
      </c>
      <c r="I103" s="43"/>
      <c r="J103" s="42"/>
      <c r="K103" s="43"/>
      <c r="L103" s="43">
        <v>58</v>
      </c>
      <c r="M103" s="43">
        <v>50</v>
      </c>
      <c r="N103" s="43"/>
      <c r="O103" s="42"/>
      <c r="P103" s="40"/>
      <c r="Q103" s="42"/>
      <c r="R103" s="43"/>
      <c r="S103" s="40"/>
      <c r="T103" s="40"/>
      <c r="U103" s="43">
        <v>38</v>
      </c>
      <c r="V103" s="43"/>
      <c r="W103" s="43"/>
      <c r="X103" s="43"/>
      <c r="Y103" s="42"/>
      <c r="Z103" s="43"/>
      <c r="AA103" s="43">
        <v>37</v>
      </c>
      <c r="AB103" s="32">
        <f t="shared" si="4"/>
        <v>387</v>
      </c>
      <c r="AC103" s="18"/>
      <c r="AD103" s="13">
        <f t="shared" si="5"/>
        <v>48.375</v>
      </c>
    </row>
    <row r="104" spans="1:30" x14ac:dyDescent="0.3">
      <c r="A104" s="7">
        <v>97</v>
      </c>
      <c r="B104" s="56" t="s">
        <v>106</v>
      </c>
      <c r="C104" s="43">
        <v>39</v>
      </c>
      <c r="D104" s="43">
        <v>62</v>
      </c>
      <c r="E104" s="43"/>
      <c r="F104" s="43"/>
      <c r="G104" s="43">
        <v>38</v>
      </c>
      <c r="H104" s="43">
        <v>75</v>
      </c>
      <c r="I104" s="40"/>
      <c r="J104" s="40"/>
      <c r="K104" s="42"/>
      <c r="L104" s="43">
        <v>33</v>
      </c>
      <c r="M104" s="43"/>
      <c r="N104" s="43">
        <v>42</v>
      </c>
      <c r="O104" s="43"/>
      <c r="P104" s="43"/>
      <c r="Q104" s="44"/>
      <c r="R104" s="43">
        <v>41</v>
      </c>
      <c r="S104" s="40"/>
      <c r="T104" s="44"/>
      <c r="U104" s="43"/>
      <c r="V104" s="40"/>
      <c r="W104" s="40"/>
      <c r="X104" s="43"/>
      <c r="Y104" s="40"/>
      <c r="Z104" s="43"/>
      <c r="AA104" s="43">
        <v>54</v>
      </c>
      <c r="AB104" s="32">
        <f t="shared" ref="AB104:AB125" si="6">SUM(C104:AA104)</f>
        <v>384</v>
      </c>
      <c r="AC104" s="18"/>
      <c r="AD104" s="13">
        <f t="shared" ref="AD104:AD125" si="7">AVERAGE(C104:AA104)</f>
        <v>48</v>
      </c>
    </row>
    <row r="105" spans="1:30" x14ac:dyDescent="0.3">
      <c r="A105" s="7">
        <v>98</v>
      </c>
      <c r="B105" s="50" t="s">
        <v>77</v>
      </c>
      <c r="C105" s="43">
        <v>46</v>
      </c>
      <c r="D105" s="43">
        <v>75</v>
      </c>
      <c r="E105" s="43"/>
      <c r="F105" s="43">
        <v>38</v>
      </c>
      <c r="G105" s="43"/>
      <c r="H105" s="43">
        <v>38</v>
      </c>
      <c r="I105" s="40"/>
      <c r="J105" s="40"/>
      <c r="K105" s="42"/>
      <c r="L105" s="43">
        <v>44</v>
      </c>
      <c r="M105" s="43">
        <v>45</v>
      </c>
      <c r="N105" s="43"/>
      <c r="O105" s="44"/>
      <c r="P105" s="44"/>
      <c r="Q105" s="44"/>
      <c r="R105" s="43"/>
      <c r="S105" s="40"/>
      <c r="T105" s="44"/>
      <c r="U105" s="43">
        <v>42</v>
      </c>
      <c r="V105" s="40"/>
      <c r="W105" s="40"/>
      <c r="X105" s="43"/>
      <c r="Y105" s="40"/>
      <c r="Z105" s="43"/>
      <c r="AA105" s="43">
        <v>55</v>
      </c>
      <c r="AB105" s="32">
        <f t="shared" si="6"/>
        <v>383</v>
      </c>
      <c r="AC105" s="18"/>
      <c r="AD105" s="13">
        <f t="shared" si="7"/>
        <v>47.875</v>
      </c>
    </row>
    <row r="106" spans="1:30" x14ac:dyDescent="0.3">
      <c r="A106" s="7">
        <v>99</v>
      </c>
      <c r="B106" s="56" t="s">
        <v>99</v>
      </c>
      <c r="C106" s="43">
        <v>42</v>
      </c>
      <c r="D106" s="43">
        <v>50</v>
      </c>
      <c r="E106" s="42"/>
      <c r="F106" s="42"/>
      <c r="G106" s="43">
        <v>43</v>
      </c>
      <c r="H106" s="43">
        <v>62</v>
      </c>
      <c r="I106" s="43"/>
      <c r="J106" s="43"/>
      <c r="K106" s="43"/>
      <c r="L106" s="43">
        <v>39</v>
      </c>
      <c r="M106" s="43"/>
      <c r="N106" s="43">
        <v>53</v>
      </c>
      <c r="O106" s="42"/>
      <c r="P106" s="40"/>
      <c r="Q106" s="42"/>
      <c r="R106" s="43">
        <v>38</v>
      </c>
      <c r="S106" s="43"/>
      <c r="T106" s="43"/>
      <c r="U106" s="40"/>
      <c r="V106" s="42"/>
      <c r="W106" s="43"/>
      <c r="X106" s="42"/>
      <c r="Y106" s="43"/>
      <c r="Z106" s="42"/>
      <c r="AA106" s="43">
        <v>55</v>
      </c>
      <c r="AB106" s="32">
        <f t="shared" si="6"/>
        <v>382</v>
      </c>
      <c r="AC106" s="18"/>
      <c r="AD106" s="13">
        <f t="shared" si="7"/>
        <v>47.75</v>
      </c>
    </row>
    <row r="107" spans="1:30" x14ac:dyDescent="0.3">
      <c r="A107" s="7">
        <v>100</v>
      </c>
      <c r="B107" s="50" t="s">
        <v>121</v>
      </c>
      <c r="C107" s="43">
        <v>44</v>
      </c>
      <c r="D107" s="43">
        <v>70</v>
      </c>
      <c r="E107" s="51"/>
      <c r="F107" s="51"/>
      <c r="G107" s="43"/>
      <c r="H107" s="43">
        <v>38</v>
      </c>
      <c r="I107" s="43"/>
      <c r="J107" s="51"/>
      <c r="K107" s="43"/>
      <c r="L107" s="43">
        <v>44</v>
      </c>
      <c r="M107" s="43">
        <v>39</v>
      </c>
      <c r="N107" s="43"/>
      <c r="O107" s="51"/>
      <c r="P107" s="51"/>
      <c r="Q107" s="51"/>
      <c r="R107" s="43"/>
      <c r="S107" s="43">
        <v>44</v>
      </c>
      <c r="T107" s="43">
        <v>62</v>
      </c>
      <c r="U107" s="51"/>
      <c r="V107" s="51"/>
      <c r="W107" s="43"/>
      <c r="X107" s="51"/>
      <c r="Y107" s="51"/>
      <c r="Z107" s="51"/>
      <c r="AA107" s="43">
        <v>38</v>
      </c>
      <c r="AB107" s="32">
        <f t="shared" si="6"/>
        <v>379</v>
      </c>
      <c r="AC107" s="18"/>
      <c r="AD107" s="13">
        <f t="shared" si="7"/>
        <v>47.375</v>
      </c>
    </row>
    <row r="108" spans="1:30" x14ac:dyDescent="0.3">
      <c r="A108" s="7">
        <v>101</v>
      </c>
      <c r="B108" s="56" t="s">
        <v>91</v>
      </c>
      <c r="C108" s="43">
        <v>44</v>
      </c>
      <c r="D108" s="43">
        <v>72</v>
      </c>
      <c r="E108" s="51"/>
      <c r="F108" s="51"/>
      <c r="G108" s="43">
        <v>45</v>
      </c>
      <c r="H108" s="43">
        <v>45</v>
      </c>
      <c r="I108" s="43"/>
      <c r="J108" s="43"/>
      <c r="K108" s="43"/>
      <c r="L108" s="43">
        <v>38</v>
      </c>
      <c r="M108" s="51"/>
      <c r="N108" s="43">
        <v>55</v>
      </c>
      <c r="O108" s="51"/>
      <c r="P108" s="51"/>
      <c r="Q108" s="51"/>
      <c r="R108" s="43">
        <v>39</v>
      </c>
      <c r="S108" s="51"/>
      <c r="T108" s="51"/>
      <c r="U108" s="51"/>
      <c r="V108" s="51"/>
      <c r="W108" s="43"/>
      <c r="X108" s="51"/>
      <c r="Y108" s="43"/>
      <c r="Z108" s="51"/>
      <c r="AA108" s="43">
        <v>40</v>
      </c>
      <c r="AB108" s="32">
        <f t="shared" si="6"/>
        <v>378</v>
      </c>
      <c r="AC108" s="18"/>
      <c r="AD108" s="13">
        <f t="shared" si="7"/>
        <v>47.25</v>
      </c>
    </row>
    <row r="109" spans="1:30" x14ac:dyDescent="0.3">
      <c r="A109" s="7">
        <v>102</v>
      </c>
      <c r="B109" s="50" t="s">
        <v>72</v>
      </c>
      <c r="C109" s="43">
        <v>60</v>
      </c>
      <c r="D109" s="43">
        <v>51</v>
      </c>
      <c r="E109" s="43"/>
      <c r="F109" s="43">
        <v>47</v>
      </c>
      <c r="G109" s="43"/>
      <c r="H109" s="43">
        <v>44</v>
      </c>
      <c r="I109" s="43"/>
      <c r="J109" s="40"/>
      <c r="K109" s="43"/>
      <c r="L109" s="43">
        <v>38</v>
      </c>
      <c r="M109" s="43">
        <v>55</v>
      </c>
      <c r="N109" s="43"/>
      <c r="O109" s="40"/>
      <c r="P109" s="42"/>
      <c r="Q109" s="44"/>
      <c r="R109" s="43"/>
      <c r="S109" s="44"/>
      <c r="T109" s="42"/>
      <c r="U109" s="43">
        <v>39</v>
      </c>
      <c r="V109" s="40"/>
      <c r="W109" s="43"/>
      <c r="X109" s="43"/>
      <c r="Y109" s="40"/>
      <c r="Z109" s="43"/>
      <c r="AA109" s="43">
        <v>41</v>
      </c>
      <c r="AB109" s="32">
        <f t="shared" si="6"/>
        <v>375</v>
      </c>
      <c r="AC109" s="18"/>
      <c r="AD109" s="13">
        <f t="shared" si="7"/>
        <v>46.875</v>
      </c>
    </row>
    <row r="110" spans="1:30" x14ac:dyDescent="0.3">
      <c r="A110" s="7">
        <v>103</v>
      </c>
      <c r="B110" s="56" t="s">
        <v>103</v>
      </c>
      <c r="C110" s="43">
        <v>35</v>
      </c>
      <c r="D110" s="43">
        <v>58</v>
      </c>
      <c r="E110" s="40"/>
      <c r="F110" s="40"/>
      <c r="G110" s="43">
        <v>41</v>
      </c>
      <c r="H110" s="43">
        <v>40</v>
      </c>
      <c r="I110" s="43"/>
      <c r="J110" s="43"/>
      <c r="K110" s="43"/>
      <c r="L110" s="43">
        <v>38</v>
      </c>
      <c r="M110" s="40"/>
      <c r="N110" s="43">
        <v>62</v>
      </c>
      <c r="O110" s="42"/>
      <c r="P110" s="40"/>
      <c r="Q110" s="42"/>
      <c r="R110" s="43">
        <v>59</v>
      </c>
      <c r="S110" s="40"/>
      <c r="T110" s="40"/>
      <c r="U110" s="40"/>
      <c r="V110" s="42"/>
      <c r="W110" s="43"/>
      <c r="X110" s="42"/>
      <c r="Y110" s="43"/>
      <c r="Z110" s="42"/>
      <c r="AA110" s="43">
        <v>41</v>
      </c>
      <c r="AB110" s="32">
        <f t="shared" si="6"/>
        <v>374</v>
      </c>
      <c r="AC110" s="18"/>
      <c r="AD110" s="13">
        <f t="shared" si="7"/>
        <v>46.75</v>
      </c>
    </row>
    <row r="111" spans="1:30" x14ac:dyDescent="0.3">
      <c r="A111" s="7">
        <v>104</v>
      </c>
      <c r="B111" s="56" t="s">
        <v>92</v>
      </c>
      <c r="C111" s="43">
        <v>51</v>
      </c>
      <c r="D111" s="43">
        <v>55</v>
      </c>
      <c r="E111" s="43"/>
      <c r="F111" s="43"/>
      <c r="G111" s="43">
        <v>52</v>
      </c>
      <c r="H111" s="43">
        <v>33</v>
      </c>
      <c r="I111" s="43"/>
      <c r="J111" s="40"/>
      <c r="K111" s="43"/>
      <c r="L111" s="43">
        <v>38</v>
      </c>
      <c r="M111" s="43"/>
      <c r="N111" s="43">
        <v>54</v>
      </c>
      <c r="O111" s="43"/>
      <c r="P111" s="43"/>
      <c r="Q111" s="52"/>
      <c r="R111" s="43">
        <v>40</v>
      </c>
      <c r="S111" s="40"/>
      <c r="T111" s="42"/>
      <c r="U111" s="43"/>
      <c r="V111" s="42"/>
      <c r="W111" s="43"/>
      <c r="X111" s="42"/>
      <c r="Y111" s="42"/>
      <c r="Z111" s="43"/>
      <c r="AA111" s="43">
        <v>51</v>
      </c>
      <c r="AB111" s="32">
        <f t="shared" si="6"/>
        <v>374</v>
      </c>
      <c r="AC111" s="18"/>
      <c r="AD111" s="13">
        <f t="shared" si="7"/>
        <v>46.75</v>
      </c>
    </row>
    <row r="112" spans="1:30" x14ac:dyDescent="0.3">
      <c r="A112" s="7">
        <v>105</v>
      </c>
      <c r="B112" s="56" t="s">
        <v>96</v>
      </c>
      <c r="C112" s="43">
        <v>38</v>
      </c>
      <c r="D112" s="43">
        <v>70</v>
      </c>
      <c r="E112" s="43"/>
      <c r="F112" s="43"/>
      <c r="G112" s="43">
        <v>32</v>
      </c>
      <c r="H112" s="43">
        <v>52</v>
      </c>
      <c r="I112" s="40"/>
      <c r="J112" s="40"/>
      <c r="K112" s="42"/>
      <c r="L112" s="43">
        <v>44</v>
      </c>
      <c r="M112" s="43"/>
      <c r="N112" s="43">
        <v>41</v>
      </c>
      <c r="O112" s="43"/>
      <c r="P112" s="43"/>
      <c r="Q112" s="44"/>
      <c r="R112" s="43">
        <v>44</v>
      </c>
      <c r="S112" s="43"/>
      <c r="T112" s="43"/>
      <c r="U112" s="43"/>
      <c r="V112" s="40"/>
      <c r="W112" s="40"/>
      <c r="X112" s="40"/>
      <c r="Y112" s="40"/>
      <c r="Z112" s="43"/>
      <c r="AA112" s="43">
        <v>51</v>
      </c>
      <c r="AB112" s="32">
        <f t="shared" si="6"/>
        <v>372</v>
      </c>
      <c r="AC112" s="18"/>
      <c r="AD112" s="13">
        <f t="shared" si="7"/>
        <v>46.5</v>
      </c>
    </row>
    <row r="113" spans="1:30" x14ac:dyDescent="0.3">
      <c r="A113" s="7">
        <v>106</v>
      </c>
      <c r="B113" s="50" t="s">
        <v>117</v>
      </c>
      <c r="C113" s="43">
        <v>42</v>
      </c>
      <c r="D113" s="43">
        <v>65</v>
      </c>
      <c r="E113" s="51"/>
      <c r="F113" s="51"/>
      <c r="G113" s="51"/>
      <c r="H113" s="43">
        <v>32</v>
      </c>
      <c r="I113" s="43"/>
      <c r="J113" s="43"/>
      <c r="K113" s="43"/>
      <c r="L113" s="43">
        <v>40</v>
      </c>
      <c r="M113" s="43">
        <v>62</v>
      </c>
      <c r="N113" s="43"/>
      <c r="O113" s="51"/>
      <c r="P113" s="51"/>
      <c r="Q113" s="51"/>
      <c r="R113" s="51"/>
      <c r="S113" s="43">
        <v>42</v>
      </c>
      <c r="T113" s="43">
        <v>42</v>
      </c>
      <c r="U113" s="51"/>
      <c r="V113" s="51"/>
      <c r="W113" s="43"/>
      <c r="X113" s="51"/>
      <c r="Y113" s="43"/>
      <c r="Z113" s="51"/>
      <c r="AA113" s="43">
        <v>41</v>
      </c>
      <c r="AB113" s="32">
        <f t="shared" si="6"/>
        <v>366</v>
      </c>
      <c r="AC113" s="18"/>
      <c r="AD113" s="13">
        <f t="shared" si="7"/>
        <v>45.75</v>
      </c>
    </row>
    <row r="114" spans="1:30" x14ac:dyDescent="0.3">
      <c r="A114" s="7">
        <v>107</v>
      </c>
      <c r="B114" s="56" t="s">
        <v>95</v>
      </c>
      <c r="C114" s="43">
        <v>38</v>
      </c>
      <c r="D114" s="43">
        <v>60</v>
      </c>
      <c r="E114" s="51"/>
      <c r="F114" s="43"/>
      <c r="G114" s="43">
        <v>42</v>
      </c>
      <c r="H114" s="43">
        <v>38</v>
      </c>
      <c r="I114" s="43"/>
      <c r="J114" s="51"/>
      <c r="K114" s="43"/>
      <c r="L114" s="43">
        <v>35</v>
      </c>
      <c r="M114" s="43"/>
      <c r="N114" s="43">
        <v>52</v>
      </c>
      <c r="O114" s="51"/>
      <c r="P114" s="51"/>
      <c r="Q114" s="51"/>
      <c r="R114" s="43">
        <v>38</v>
      </c>
      <c r="S114" s="43"/>
      <c r="T114" s="43"/>
      <c r="U114" s="43"/>
      <c r="V114" s="51"/>
      <c r="W114" s="43"/>
      <c r="X114" s="51"/>
      <c r="Y114" s="51"/>
      <c r="Z114" s="51"/>
      <c r="AA114" s="43">
        <v>58</v>
      </c>
      <c r="AB114" s="32">
        <f t="shared" si="6"/>
        <v>361</v>
      </c>
      <c r="AC114" s="18"/>
      <c r="AD114" s="13">
        <f t="shared" si="7"/>
        <v>45.125</v>
      </c>
    </row>
    <row r="115" spans="1:30" x14ac:dyDescent="0.3">
      <c r="A115" s="7">
        <v>108</v>
      </c>
      <c r="B115" s="56" t="s">
        <v>97</v>
      </c>
      <c r="C115" s="43">
        <v>37</v>
      </c>
      <c r="D115" s="43">
        <v>63</v>
      </c>
      <c r="E115" s="40"/>
      <c r="F115" s="42"/>
      <c r="G115" s="43">
        <v>38</v>
      </c>
      <c r="H115" s="43">
        <v>45</v>
      </c>
      <c r="I115" s="43"/>
      <c r="J115" s="40"/>
      <c r="K115" s="43"/>
      <c r="L115" s="43">
        <v>42</v>
      </c>
      <c r="M115" s="43"/>
      <c r="N115" s="43">
        <v>43</v>
      </c>
      <c r="O115" s="40"/>
      <c r="P115" s="52"/>
      <c r="Q115" s="40"/>
      <c r="R115" s="43">
        <v>42</v>
      </c>
      <c r="S115" s="43"/>
      <c r="T115" s="43"/>
      <c r="U115" s="52"/>
      <c r="V115" s="40"/>
      <c r="W115" s="43"/>
      <c r="X115" s="40"/>
      <c r="Y115" s="40"/>
      <c r="Z115" s="40"/>
      <c r="AA115" s="43">
        <v>47</v>
      </c>
      <c r="AB115" s="32">
        <f t="shared" si="6"/>
        <v>357</v>
      </c>
      <c r="AC115" s="18"/>
      <c r="AD115" s="13">
        <f t="shared" si="7"/>
        <v>44.625</v>
      </c>
    </row>
    <row r="116" spans="1:30" x14ac:dyDescent="0.3">
      <c r="A116" s="7">
        <v>109</v>
      </c>
      <c r="B116" s="50" t="s">
        <v>75</v>
      </c>
      <c r="C116" s="43">
        <v>61</v>
      </c>
      <c r="D116" s="43">
        <v>53</v>
      </c>
      <c r="E116" s="43"/>
      <c r="F116" s="43">
        <v>37</v>
      </c>
      <c r="G116" s="51"/>
      <c r="H116" s="43">
        <v>39</v>
      </c>
      <c r="I116" s="43"/>
      <c r="J116" s="51"/>
      <c r="K116" s="43"/>
      <c r="L116" s="43">
        <v>44</v>
      </c>
      <c r="M116" s="43">
        <v>44</v>
      </c>
      <c r="N116" s="43"/>
      <c r="O116" s="43"/>
      <c r="P116" s="43"/>
      <c r="Q116" s="51"/>
      <c r="R116" s="51"/>
      <c r="S116" s="43"/>
      <c r="T116" s="43"/>
      <c r="U116" s="43">
        <v>37</v>
      </c>
      <c r="V116" s="51"/>
      <c r="W116" s="43"/>
      <c r="X116" s="51"/>
      <c r="Y116" s="51"/>
      <c r="Z116" s="43"/>
      <c r="AA116" s="43">
        <v>41</v>
      </c>
      <c r="AB116" s="32">
        <f t="shared" si="6"/>
        <v>356</v>
      </c>
      <c r="AC116" s="18"/>
      <c r="AD116" s="13">
        <f t="shared" si="7"/>
        <v>44.5</v>
      </c>
    </row>
    <row r="117" spans="1:30" x14ac:dyDescent="0.3">
      <c r="A117" s="7">
        <v>110</v>
      </c>
      <c r="B117" s="56" t="s">
        <v>135</v>
      </c>
      <c r="C117" s="43">
        <v>52</v>
      </c>
      <c r="D117" s="43">
        <v>51</v>
      </c>
      <c r="E117" s="43"/>
      <c r="F117" s="51"/>
      <c r="G117" s="43"/>
      <c r="H117" s="43"/>
      <c r="I117" s="43"/>
      <c r="J117" s="43">
        <v>50</v>
      </c>
      <c r="K117" s="43"/>
      <c r="L117" s="43">
        <v>39</v>
      </c>
      <c r="M117" s="43"/>
      <c r="N117" s="43">
        <v>42</v>
      </c>
      <c r="O117" s="43"/>
      <c r="P117" s="43"/>
      <c r="Q117" s="51"/>
      <c r="R117" s="43"/>
      <c r="S117" s="51"/>
      <c r="T117" s="51"/>
      <c r="U117" s="51"/>
      <c r="V117" s="43"/>
      <c r="W117" s="43"/>
      <c r="X117" s="51"/>
      <c r="Y117" s="43">
        <v>38</v>
      </c>
      <c r="Z117" s="43"/>
      <c r="AA117" s="43">
        <v>38</v>
      </c>
      <c r="AB117" s="32">
        <f t="shared" si="6"/>
        <v>310</v>
      </c>
      <c r="AC117" s="18"/>
      <c r="AD117" s="13">
        <f t="shared" si="7"/>
        <v>44.285714285714285</v>
      </c>
    </row>
    <row r="118" spans="1:30" x14ac:dyDescent="0.3">
      <c r="A118" s="7">
        <v>111</v>
      </c>
      <c r="B118" s="56" t="s">
        <v>98</v>
      </c>
      <c r="C118" s="43">
        <v>40</v>
      </c>
      <c r="D118" s="43">
        <v>55</v>
      </c>
      <c r="E118" s="43"/>
      <c r="F118" s="43"/>
      <c r="G118" s="43">
        <v>38</v>
      </c>
      <c r="H118" s="43">
        <v>38</v>
      </c>
      <c r="I118" s="40"/>
      <c r="J118" s="40"/>
      <c r="K118" s="44"/>
      <c r="L118" s="43">
        <v>39</v>
      </c>
      <c r="M118" s="43"/>
      <c r="N118" s="43">
        <v>42</v>
      </c>
      <c r="O118" s="43"/>
      <c r="P118" s="43"/>
      <c r="Q118" s="43"/>
      <c r="R118" s="43">
        <v>48</v>
      </c>
      <c r="S118" s="40"/>
      <c r="T118" s="44"/>
      <c r="U118" s="43"/>
      <c r="V118" s="40"/>
      <c r="W118" s="40"/>
      <c r="X118" s="43"/>
      <c r="Y118" s="40"/>
      <c r="Z118" s="43"/>
      <c r="AA118" s="43">
        <v>54</v>
      </c>
      <c r="AB118" s="32">
        <f t="shared" si="6"/>
        <v>354</v>
      </c>
      <c r="AC118" s="18"/>
      <c r="AD118" s="13">
        <f t="shared" si="7"/>
        <v>44.25</v>
      </c>
    </row>
    <row r="119" spans="1:30" x14ac:dyDescent="0.3">
      <c r="A119" s="7">
        <v>112</v>
      </c>
      <c r="B119" s="50" t="s">
        <v>79</v>
      </c>
      <c r="C119" s="43">
        <v>58</v>
      </c>
      <c r="D119" s="43">
        <v>53</v>
      </c>
      <c r="E119" s="51"/>
      <c r="F119" s="43">
        <v>41</v>
      </c>
      <c r="G119" s="43"/>
      <c r="H119" s="43">
        <v>38</v>
      </c>
      <c r="I119" s="43"/>
      <c r="J119" s="51"/>
      <c r="K119" s="43"/>
      <c r="L119" s="43">
        <v>47</v>
      </c>
      <c r="M119" s="43">
        <v>39</v>
      </c>
      <c r="N119" s="43"/>
      <c r="O119" s="51"/>
      <c r="P119" s="51"/>
      <c r="Q119" s="51"/>
      <c r="R119" s="43"/>
      <c r="S119" s="43"/>
      <c r="T119" s="43"/>
      <c r="U119" s="43">
        <v>32</v>
      </c>
      <c r="V119" s="51"/>
      <c r="W119" s="43"/>
      <c r="X119" s="51"/>
      <c r="Y119" s="51"/>
      <c r="Z119" s="51"/>
      <c r="AA119" s="43">
        <v>45</v>
      </c>
      <c r="AB119" s="32">
        <f t="shared" si="6"/>
        <v>353</v>
      </c>
      <c r="AC119" s="18"/>
      <c r="AD119" s="13">
        <f t="shared" si="7"/>
        <v>44.125</v>
      </c>
    </row>
    <row r="120" spans="1:30" x14ac:dyDescent="0.3">
      <c r="A120" s="7">
        <v>113</v>
      </c>
      <c r="B120" s="56" t="s">
        <v>94</v>
      </c>
      <c r="C120" s="43">
        <v>30</v>
      </c>
      <c r="D120" s="43">
        <v>62</v>
      </c>
      <c r="E120" s="43"/>
      <c r="F120" s="43"/>
      <c r="G120" s="43">
        <v>42</v>
      </c>
      <c r="H120" s="43">
        <v>39</v>
      </c>
      <c r="I120" s="40"/>
      <c r="J120" s="42"/>
      <c r="K120" s="40"/>
      <c r="L120" s="43">
        <v>38</v>
      </c>
      <c r="M120" s="43"/>
      <c r="N120" s="43">
        <v>44</v>
      </c>
      <c r="O120" s="42"/>
      <c r="P120" s="43"/>
      <c r="Q120" s="43"/>
      <c r="R120" s="43">
        <v>41</v>
      </c>
      <c r="S120" s="43"/>
      <c r="T120" s="43"/>
      <c r="U120" s="43"/>
      <c r="V120" s="44"/>
      <c r="W120" s="44"/>
      <c r="X120" s="43"/>
      <c r="Y120" s="44"/>
      <c r="Z120" s="43"/>
      <c r="AA120" s="43">
        <v>56</v>
      </c>
      <c r="AB120" s="32">
        <f t="shared" si="6"/>
        <v>352</v>
      </c>
      <c r="AC120" s="18"/>
      <c r="AD120" s="13">
        <f t="shared" si="7"/>
        <v>44</v>
      </c>
    </row>
    <row r="121" spans="1:30" s="24" customFormat="1" ht="15" customHeight="1" x14ac:dyDescent="0.2">
      <c r="A121" s="7">
        <v>114</v>
      </c>
      <c r="B121" s="56" t="s">
        <v>89</v>
      </c>
      <c r="C121" s="43">
        <v>32</v>
      </c>
      <c r="D121" s="43">
        <v>38</v>
      </c>
      <c r="E121" s="51"/>
      <c r="F121" s="43"/>
      <c r="G121" s="43">
        <v>38</v>
      </c>
      <c r="H121" s="43">
        <v>52</v>
      </c>
      <c r="I121" s="43"/>
      <c r="J121" s="43"/>
      <c r="K121" s="43"/>
      <c r="L121" s="43">
        <v>40</v>
      </c>
      <c r="M121" s="43"/>
      <c r="N121" s="43">
        <v>50</v>
      </c>
      <c r="O121" s="51"/>
      <c r="P121" s="51"/>
      <c r="Q121" s="51"/>
      <c r="R121" s="43">
        <v>38</v>
      </c>
      <c r="S121" s="51"/>
      <c r="T121" s="51"/>
      <c r="U121" s="43"/>
      <c r="V121" s="51"/>
      <c r="W121" s="43"/>
      <c r="X121" s="51"/>
      <c r="Y121" s="43"/>
      <c r="Z121" s="51"/>
      <c r="AA121" s="43">
        <v>58</v>
      </c>
      <c r="AB121" s="32">
        <f t="shared" si="6"/>
        <v>346</v>
      </c>
      <c r="AC121" s="18"/>
      <c r="AD121" s="13">
        <f t="shared" si="7"/>
        <v>43.25</v>
      </c>
    </row>
    <row r="122" spans="1:30" x14ac:dyDescent="0.3">
      <c r="A122" s="7">
        <v>115</v>
      </c>
      <c r="B122" s="56" t="s">
        <v>90</v>
      </c>
      <c r="C122" s="43">
        <v>35</v>
      </c>
      <c r="D122" s="43">
        <v>69</v>
      </c>
      <c r="E122" s="43"/>
      <c r="F122" s="43"/>
      <c r="G122" s="43">
        <v>42</v>
      </c>
      <c r="H122" s="43">
        <v>38</v>
      </c>
      <c r="I122" s="40"/>
      <c r="J122" s="40"/>
      <c r="K122" s="42"/>
      <c r="L122" s="43">
        <v>38</v>
      </c>
      <c r="M122" s="43"/>
      <c r="N122" s="43">
        <v>41</v>
      </c>
      <c r="O122" s="43"/>
      <c r="P122" s="43"/>
      <c r="Q122" s="55"/>
      <c r="R122" s="43">
        <v>38</v>
      </c>
      <c r="S122" s="42"/>
      <c r="T122" s="55"/>
      <c r="U122" s="43"/>
      <c r="V122" s="40"/>
      <c r="W122" s="40"/>
      <c r="X122" s="43"/>
      <c r="Y122" s="40"/>
      <c r="Z122" s="43"/>
      <c r="AA122" s="43">
        <v>38</v>
      </c>
      <c r="AB122" s="32">
        <f t="shared" si="6"/>
        <v>339</v>
      </c>
      <c r="AC122" s="18"/>
      <c r="AD122" s="13">
        <f t="shared" si="7"/>
        <v>42.375</v>
      </c>
    </row>
    <row r="123" spans="1:30" x14ac:dyDescent="0.3">
      <c r="A123" s="7">
        <v>116</v>
      </c>
      <c r="B123" s="50" t="s">
        <v>68</v>
      </c>
      <c r="C123" s="43">
        <v>40</v>
      </c>
      <c r="D123" s="43">
        <v>51</v>
      </c>
      <c r="E123" s="43"/>
      <c r="F123" s="43">
        <v>38</v>
      </c>
      <c r="G123" s="51"/>
      <c r="H123" s="43">
        <v>45</v>
      </c>
      <c r="I123" s="51"/>
      <c r="J123" s="43"/>
      <c r="K123" s="51"/>
      <c r="L123" s="43">
        <v>48</v>
      </c>
      <c r="M123" s="43">
        <v>32</v>
      </c>
      <c r="N123" s="43"/>
      <c r="O123" s="43"/>
      <c r="P123" s="43"/>
      <c r="Q123" s="51"/>
      <c r="R123" s="51"/>
      <c r="S123" s="51"/>
      <c r="T123" s="51"/>
      <c r="U123" s="43">
        <v>38</v>
      </c>
      <c r="V123" s="43"/>
      <c r="W123" s="43"/>
      <c r="X123" s="51"/>
      <c r="Y123" s="43"/>
      <c r="Z123" s="43"/>
      <c r="AA123" s="43">
        <v>44</v>
      </c>
      <c r="AB123" s="32">
        <f t="shared" si="6"/>
        <v>336</v>
      </c>
      <c r="AC123" s="18"/>
      <c r="AD123" s="13">
        <f t="shared" si="7"/>
        <v>42</v>
      </c>
    </row>
    <row r="124" spans="1:30" x14ac:dyDescent="0.3">
      <c r="A124" s="7">
        <v>117</v>
      </c>
      <c r="B124" s="50" t="s">
        <v>74</v>
      </c>
      <c r="C124" s="43">
        <v>42</v>
      </c>
      <c r="D124" s="43">
        <v>55</v>
      </c>
      <c r="E124" s="43"/>
      <c r="F124" s="43">
        <v>35</v>
      </c>
      <c r="G124" s="43"/>
      <c r="H124" s="43">
        <v>41</v>
      </c>
      <c r="I124" s="40"/>
      <c r="J124" s="40"/>
      <c r="K124" s="52"/>
      <c r="L124" s="43">
        <v>38</v>
      </c>
      <c r="M124" s="43">
        <v>42</v>
      </c>
      <c r="N124" s="43"/>
      <c r="O124" s="43"/>
      <c r="P124" s="43"/>
      <c r="Q124" s="42"/>
      <c r="R124" s="43"/>
      <c r="S124" s="42"/>
      <c r="T124" s="52"/>
      <c r="U124" s="43">
        <v>41</v>
      </c>
      <c r="V124" s="43"/>
      <c r="W124" s="40"/>
      <c r="X124" s="40"/>
      <c r="Y124" s="40"/>
      <c r="Z124" s="43"/>
      <c r="AA124" s="43">
        <v>41</v>
      </c>
      <c r="AB124" s="32">
        <f t="shared" si="6"/>
        <v>335</v>
      </c>
      <c r="AC124" s="18"/>
      <c r="AD124" s="13">
        <f t="shared" si="7"/>
        <v>41.875</v>
      </c>
    </row>
    <row r="125" spans="1:30" x14ac:dyDescent="0.3">
      <c r="A125" s="7">
        <v>118</v>
      </c>
      <c r="B125" s="50" t="s">
        <v>73</v>
      </c>
      <c r="C125" s="43">
        <v>39</v>
      </c>
      <c r="D125" s="43">
        <v>60</v>
      </c>
      <c r="E125" s="43"/>
      <c r="F125" s="43">
        <v>40</v>
      </c>
      <c r="G125" s="43"/>
      <c r="H125" s="43">
        <v>37</v>
      </c>
      <c r="I125" s="40"/>
      <c r="J125" s="40"/>
      <c r="K125" s="40"/>
      <c r="L125" s="43">
        <v>37</v>
      </c>
      <c r="M125" s="43">
        <v>33</v>
      </c>
      <c r="N125" s="43"/>
      <c r="O125" s="43"/>
      <c r="P125" s="43"/>
      <c r="Q125" s="43"/>
      <c r="R125" s="43"/>
      <c r="S125" s="40"/>
      <c r="T125" s="40"/>
      <c r="U125" s="43">
        <v>40</v>
      </c>
      <c r="V125" s="40"/>
      <c r="W125" s="40"/>
      <c r="X125" s="40"/>
      <c r="Y125" s="40"/>
      <c r="Z125" s="43"/>
      <c r="AA125" s="43">
        <v>37</v>
      </c>
      <c r="AB125" s="32">
        <f t="shared" si="6"/>
        <v>323</v>
      </c>
      <c r="AC125" s="18"/>
      <c r="AD125" s="13">
        <f t="shared" si="7"/>
        <v>40.375</v>
      </c>
    </row>
    <row r="126" spans="1:30" x14ac:dyDescent="0.3">
      <c r="AB126" s="32"/>
      <c r="AC126" s="18"/>
      <c r="AD126" s="13"/>
    </row>
    <row r="127" spans="1:30" x14ac:dyDescent="0.3">
      <c r="A127" s="24"/>
      <c r="C127" s="24">
        <f t="shared" ref="C127:AA127" si="8">AVERAGE(C8:C125)</f>
        <v>57.093220338983052</v>
      </c>
      <c r="D127" s="24">
        <f t="shared" si="8"/>
        <v>72.194915254237287</v>
      </c>
      <c r="E127" s="24">
        <f t="shared" si="8"/>
        <v>74.48571428571428</v>
      </c>
      <c r="F127" s="24">
        <f t="shared" si="8"/>
        <v>54.708333333333336</v>
      </c>
      <c r="G127" s="24">
        <f t="shared" si="8"/>
        <v>50.75</v>
      </c>
      <c r="H127" s="24">
        <f t="shared" si="8"/>
        <v>50.568965517241381</v>
      </c>
      <c r="I127" s="24">
        <f t="shared" si="8"/>
        <v>67.0625</v>
      </c>
      <c r="J127" s="24">
        <f t="shared" si="8"/>
        <v>66.571428571428569</v>
      </c>
      <c r="K127" s="24">
        <f t="shared" si="8"/>
        <v>70.0625</v>
      </c>
      <c r="L127" s="24">
        <f t="shared" si="8"/>
        <v>56.898305084745765</v>
      </c>
      <c r="M127" s="24">
        <f t="shared" si="8"/>
        <v>62.478873239436616</v>
      </c>
      <c r="N127" s="24">
        <f t="shared" si="8"/>
        <v>56.48936170212766</v>
      </c>
      <c r="O127" s="24">
        <f t="shared" si="8"/>
        <v>74.625</v>
      </c>
      <c r="P127" s="24">
        <f t="shared" si="8"/>
        <v>69.416666666666671</v>
      </c>
      <c r="Q127" s="24">
        <f t="shared" si="8"/>
        <v>73</v>
      </c>
      <c r="R127" s="24">
        <f t="shared" si="8"/>
        <v>49</v>
      </c>
      <c r="S127" s="24">
        <f t="shared" si="8"/>
        <v>57.333333333333336</v>
      </c>
      <c r="T127" s="24">
        <f t="shared" si="8"/>
        <v>65.583333333333329</v>
      </c>
      <c r="U127" s="24">
        <f t="shared" si="8"/>
        <v>53.702702702702702</v>
      </c>
      <c r="V127" s="24">
        <f t="shared" si="8"/>
        <v>86.833333333333329</v>
      </c>
      <c r="W127" s="24">
        <f t="shared" si="8"/>
        <v>66.625</v>
      </c>
      <c r="X127" s="24">
        <f t="shared" si="8"/>
        <v>66.307692307692307</v>
      </c>
      <c r="Y127" s="24">
        <f t="shared" si="8"/>
        <v>57</v>
      </c>
      <c r="Z127" s="24">
        <f t="shared" si="8"/>
        <v>66.604651162790702</v>
      </c>
      <c r="AA127" s="24">
        <f t="shared" si="8"/>
        <v>61.208791208791212</v>
      </c>
      <c r="AB127" s="32">
        <f>SUM(C127:AA127)</f>
        <v>1586.6046213758914</v>
      </c>
      <c r="AC127" s="18"/>
      <c r="AD127" s="13">
        <f>AVERAGE(C127:AA127)</f>
        <v>63.464184855035654</v>
      </c>
    </row>
  </sheetData>
  <sortState ref="B8:AD125">
    <sortCondition descending="1" ref="AD125"/>
  </sortState>
  <mergeCells count="5">
    <mergeCell ref="A1:D5"/>
    <mergeCell ref="E1:AD1"/>
    <mergeCell ref="E2:AD2"/>
    <mergeCell ref="E3:AD3"/>
    <mergeCell ref="E4:AD4"/>
  </mergeCells>
  <printOptions gridLine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</vt:lpstr>
      <vt:lpstr>B</vt:lpstr>
      <vt:lpstr>F</vt:lpstr>
      <vt:lpstr>H</vt:lpstr>
      <vt:lpstr>G</vt:lpstr>
      <vt:lpstr>I</vt:lpstr>
      <vt:lpstr>A</vt:lpstr>
      <vt:lpstr>E</vt:lpstr>
      <vt:lpstr>D</vt:lpstr>
      <vt:lpstr>YM</vt:lpstr>
      <vt:lpstr>YMARK</vt:lpstr>
      <vt:lpstr>Term3</vt:lpstr>
      <vt:lpstr>Term2</vt:lpstr>
      <vt:lpstr>Term1</vt:lpstr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sikelela</dc:creator>
  <cp:lastModifiedBy>Thembi</cp:lastModifiedBy>
  <cp:lastPrinted>2014-05-05T20:23:56Z</cp:lastPrinted>
  <dcterms:created xsi:type="dcterms:W3CDTF">2013-12-14T04:22:30Z</dcterms:created>
  <dcterms:modified xsi:type="dcterms:W3CDTF">2026-03-20T23:26:03Z</dcterms:modified>
</cp:coreProperties>
</file>